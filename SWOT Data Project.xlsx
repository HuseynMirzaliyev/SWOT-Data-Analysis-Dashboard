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ml.chartshapes+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https://d.docs.live.net/4e6f80409c582e04/Desktop/swot data/"/>
    </mc:Choice>
  </mc:AlternateContent>
  <xr:revisionPtr revIDLastSave="8" documentId="13_ncr:1_{86A4A7C2-B5E4-4E1B-BAD7-BC34B17F0B78}" xr6:coauthVersionLast="47" xr6:coauthVersionMax="47" xr10:uidLastSave="{B7B179E9-C79D-45E1-A906-8712916A93CA}"/>
  <bookViews>
    <workbookView xWindow="-108" yWindow="-108" windowWidth="23256" windowHeight="12456" tabRatio="680" activeTab="2" xr2:uid="{00000000-000D-0000-FFFF-FFFF00000000}"/>
  </bookViews>
  <sheets>
    <sheet name="SWOT_Dataset" sheetId="3" r:id="rId1"/>
    <sheet name="Data Cleaning Sheet" sheetId="2" r:id="rId2"/>
    <sheet name="Executive Dashboard" sheetId="4" r:id="rId3"/>
    <sheet name="Industry Companies" sheetId="10" r:id="rId4"/>
    <sheet name="SWOT Intelligence" sheetId="7" r:id="rId5"/>
    <sheet name="Risk &amp; Growth" sheetId="8" r:id="rId6"/>
  </sheets>
  <externalReferences>
    <externalReference r:id="rId7"/>
  </externalReferences>
  <definedNames>
    <definedName name="_xlnm._FilterDatabase" localSheetId="1" hidden="1">'Data Cleaning Sheet'!$B$14:$V$317</definedName>
    <definedName name="_xlcn.WorksheetConnection_swot.xlsxswot_analysis_dataset1" hidden="1">swot_analysis_dataset[]</definedName>
    <definedName name="ExternalData_1" localSheetId="0" hidden="1">SWOT_Dataset!$A$1:$Q$301</definedName>
    <definedName name="Slicer_industry">#N/A</definedName>
    <definedName name="Slicer_market_position">#N/A</definedName>
    <definedName name="Slicer_swot_rating">#N/A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 cacheId="23" r:id="rId31"/>
    <pivotCache cacheId="24" r:id="rId32"/>
    <pivotCache cacheId="25" r:id="rId33"/>
  </pivotCaches>
  <extLst>
    <ext xmlns:x14="http://schemas.microsoft.com/office/spreadsheetml/2009/9/main" uri="{876F7934-8845-4945-9796-88D515C7AA90}">
      <x14:pivotCaches>
        <pivotCache cacheId="26"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wot_analysis_dataset" name="swot_analysis_dataset" connection="WorksheetConnection_swot.xlsx!swot_analysis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F76" i="10" l="1"/>
  <c r="BF74" i="10"/>
  <c r="BF72" i="10"/>
  <c r="BF102" i="8"/>
  <c r="BE102" i="8"/>
  <c r="BE98" i="8"/>
  <c r="BE100" i="8"/>
  <c r="BF99" i="8"/>
  <c r="BE99" i="8"/>
  <c r="BF98" i="8"/>
  <c r="BE101" i="8"/>
  <c r="BF101" i="8"/>
  <c r="BF100" i="8"/>
  <c r="BC86" i="7"/>
  <c r="BF76" i="4"/>
  <c r="BF74" i="4"/>
  <c r="BF72" i="4"/>
  <c r="BK73" i="7" l="1"/>
  <c r="BJ73" i="7"/>
  <c r="BI73" i="7"/>
  <c r="BH73" i="7"/>
  <c r="BG78" i="7"/>
  <c r="BG77" i="7"/>
  <c r="BG76" i="7"/>
  <c r="BG75" i="7"/>
  <c r="BG74" i="7"/>
  <c r="BG72" i="10"/>
  <c r="BI76" i="7"/>
  <c r="BA72" i="8"/>
  <c r="BH78" i="7"/>
  <c r="BA74" i="8"/>
  <c r="AY67" i="8"/>
  <c r="BJ75" i="7"/>
  <c r="BA73" i="8"/>
  <c r="AZ67" i="8"/>
  <c r="BA71" i="8"/>
  <c r="BH75" i="7"/>
  <c r="BI78" i="7"/>
  <c r="BK78" i="7"/>
  <c r="BH77" i="7"/>
  <c r="BJ78" i="7"/>
  <c r="BK77" i="7"/>
  <c r="BJ76" i="7"/>
  <c r="BI77" i="7"/>
  <c r="BK74" i="7"/>
  <c r="BJ74" i="7"/>
  <c r="BH76" i="7"/>
  <c r="BI75" i="7"/>
  <c r="BH74" i="7"/>
  <c r="BJ77" i="7"/>
  <c r="BK75" i="7"/>
  <c r="BK76" i="7"/>
  <c r="BI74" i="7"/>
  <c r="BA70" i="8"/>
  <c r="BB70" i="8" l="1"/>
  <c r="BB71" i="8"/>
  <c r="BB73" i="8"/>
  <c r="BC73" i="8" s="1"/>
  <c r="BB72" i="8"/>
  <c r="BG73" i="10"/>
  <c r="BG72" i="4"/>
  <c r="BG73"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8479BB-0BBC-4E66-83E0-82B4E99B9571}" keepAlive="1" name="Query - swot_analysis_dataset" description="Connection to the 'swot_analysis_dataset' query in the workbook." type="5" refreshedVersion="7" background="1" saveData="1">
    <dbPr connection="Provider=Microsoft.Mashup.OleDb.1;Data Source=$Workbook$;Location=swot_analysis_dataset;Extended Properties=&quot;&quot;" command="SELECT * FROM [swot_analysis_dataset]"/>
  </connection>
  <connection id="2" xr16:uid="{00000000-0015-0000-FFFF-FFFF00000000}" keepAlive="1" name="Query - swot_analysis_dataset UNPROCESSED" description="Connection to the 'swot_analysis_dataset UNPROCESSED' query in the workbook." type="5" refreshedVersion="0" background="1">
    <dbPr connection="Provider=Microsoft.Mashup.OleDb.1;Data Source=$Workbook$;Location=&quot;swot_analysis_dataset UNPROCESSED&quot;;Extended Properties=&quot;&quot;" command="SELECT * FROM [swot_analysis_dataset UNPROCESSED]"/>
  </connection>
  <connection id="3" xr16:uid="{B167BC88-BCD7-4CD1-9A10-D23FE675D6F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0B53B03-EF93-47AE-8185-DDCC2B2ED0F5}" name="WorksheetConnection_swot.xlsx!swot_analysis_dataset" type="102" refreshedVersion="7" minRefreshableVersion="5">
    <extLst>
      <ext xmlns:x15="http://schemas.microsoft.com/office/spreadsheetml/2010/11/main" uri="{DE250136-89BD-433C-8126-D09CA5730AF9}">
        <x15:connection id="swot_analysis_dataset" autoDelete="1">
          <x15:rangePr sourceName="_xlcn.WorksheetConnection_swot.xlsxswot_analysis_dataset1"/>
        </x15:connection>
      </ext>
    </extLst>
  </connection>
</connections>
</file>

<file path=xl/sharedStrings.xml><?xml version="1.0" encoding="utf-8"?>
<sst xmlns="http://schemas.openxmlformats.org/spreadsheetml/2006/main" count="6582" uniqueCount="836">
  <si>
    <t>employee_count</t>
  </si>
  <si>
    <t>COMP_001</t>
  </si>
  <si>
    <t>BioTech Inc</t>
  </si>
  <si>
    <t>Retail</t>
  </si>
  <si>
    <t>Brand Recognition</t>
  </si>
  <si>
    <t>Physical Store Costs</t>
  </si>
  <si>
    <t>E-commerce Growth</t>
  </si>
  <si>
    <t>Economic Downturn</t>
  </si>
  <si>
    <t>Leader</t>
  </si>
  <si>
    <t>Neutral</t>
  </si>
  <si>
    <t>COMP_002</t>
  </si>
  <si>
    <t>WellnessInc Services</t>
  </si>
  <si>
    <t>Technology</t>
  </si>
  <si>
    <t>Market Leadership</t>
  </si>
  <si>
    <t>Cybersecurity Risks</t>
  </si>
  <si>
    <t>Digital Transformation</t>
  </si>
  <si>
    <t>Regulatory Changes</t>
  </si>
  <si>
    <t>Niche</t>
  </si>
  <si>
    <t>Strong</t>
  </si>
  <si>
    <t>COMP_003</t>
  </si>
  <si>
    <t>DigitalWorks Group</t>
  </si>
  <si>
    <t>Supply Chain Disruptions</t>
  </si>
  <si>
    <t>COMP_004</t>
  </si>
  <si>
    <t>RetailHub Services</t>
  </si>
  <si>
    <t>Healthcare</t>
  </si>
  <si>
    <t>Brand Reputation</t>
  </si>
  <si>
    <t>Administrative Burden</t>
  </si>
  <si>
    <t>Global Health Initiatives</t>
  </si>
  <si>
    <t>Pandemic Risks</t>
  </si>
  <si>
    <t>Challenger</t>
  </si>
  <si>
    <t>COMP_005</t>
  </si>
  <si>
    <t>BioTech International</t>
  </si>
  <si>
    <t>Skilled Workforce</t>
  </si>
  <si>
    <t>Rapid Obsolescence</t>
  </si>
  <si>
    <t>AI Adoption</t>
  </si>
  <si>
    <t>Intense Competition</t>
  </si>
  <si>
    <t>Positive</t>
  </si>
  <si>
    <t>COMP_006</t>
  </si>
  <si>
    <t>MarketPlace Partners</t>
  </si>
  <si>
    <t>Store Network</t>
  </si>
  <si>
    <t>Private Label Brands</t>
  </si>
  <si>
    <t>Online Competition</t>
  </si>
  <si>
    <t>Follower</t>
  </si>
  <si>
    <t>COMP_007</t>
  </si>
  <si>
    <t>ShopEasy Technologies</t>
  </si>
  <si>
    <t>E-commerce Platform</t>
  </si>
  <si>
    <t>8</t>
  </si>
  <si>
    <t>HealthPlus Partners</t>
  </si>
  <si>
    <t>Finance</t>
  </si>
  <si>
    <t>Capital Reserves</t>
  </si>
  <si>
    <t>Regulatory Scrutiny</t>
  </si>
  <si>
    <t>Digital Banking</t>
  </si>
  <si>
    <t>Competition from Fintech</t>
  </si>
  <si>
    <t>COMP_009</t>
  </si>
  <si>
    <t>MediCare Solutions</t>
  </si>
  <si>
    <t>R&amp;D Capabilities</t>
  </si>
  <si>
    <t>Cloud Computing</t>
  </si>
  <si>
    <t>Tech Disruption</t>
  </si>
  <si>
    <t>COMP_010</t>
  </si>
  <si>
    <t>WealthMgmt Inc</t>
  </si>
  <si>
    <t>Regulatory Compliance</t>
  </si>
  <si>
    <t>Fintech Innovation</t>
  </si>
  <si>
    <t>Cyber Attacks</t>
  </si>
  <si>
    <t>COMP_011</t>
  </si>
  <si>
    <t>InvestmentCorp Ltd</t>
  </si>
  <si>
    <t>Research Facilities</t>
  </si>
  <si>
    <t>Staff Shortages</t>
  </si>
  <si>
    <t>Personalized Medicine</t>
  </si>
  <si>
    <t>Funding Cuts</t>
  </si>
  <si>
    <t>COMP_012</t>
  </si>
  <si>
    <t>ConsumerGoods Solutions</t>
  </si>
  <si>
    <t>COMP_013</t>
  </si>
  <si>
    <t>IndustrialTech Holdings</t>
  </si>
  <si>
    <t>Talent Retention</t>
  </si>
  <si>
    <t>Patent Issues</t>
  </si>
  <si>
    <t>COMP_014</t>
  </si>
  <si>
    <t>MoneyTrust Partners</t>
  </si>
  <si>
    <t>Low Margins</t>
  </si>
  <si>
    <t>Changing Consumer Trends</t>
  </si>
  <si>
    <t>COMP_015</t>
  </si>
  <si>
    <t>InvestmentCorp Technologies</t>
  </si>
  <si>
    <t>Manufacturing</t>
  </si>
  <si>
    <t>Automation</t>
  </si>
  <si>
    <t>High Capital Requirements</t>
  </si>
  <si>
    <t>Raw Material Costs</t>
  </si>
  <si>
    <t>COMP_016</t>
  </si>
  <si>
    <t>WealthMgmt Ltd</t>
  </si>
  <si>
    <t>Production Capacity</t>
  </si>
  <si>
    <t>Labor Intensive</t>
  </si>
  <si>
    <t>Emerging Markets</t>
  </si>
  <si>
    <t>Environmental Regulations</t>
  </si>
  <si>
    <t>COMP_017</t>
  </si>
  <si>
    <t>PharmaCare Solutions</t>
  </si>
  <si>
    <t>Aging Population</t>
  </si>
  <si>
    <t>COMP_018</t>
  </si>
  <si>
    <t>IP Portfolio</t>
  </si>
  <si>
    <t>Critical</t>
  </si>
  <si>
    <t>COMP_019</t>
  </si>
  <si>
    <t>ConsumerGoods Services</t>
  </si>
  <si>
    <t>Legacy Systems</t>
  </si>
  <si>
    <t>Interest Rate Changes</t>
  </si>
  <si>
    <t>COMP_020</t>
  </si>
  <si>
    <t>ShopEasy Inc</t>
  </si>
  <si>
    <t>Supply Chain</t>
  </si>
  <si>
    <t>Supply Chain Dependencies</t>
  </si>
  <si>
    <t>COMP_021</t>
  </si>
  <si>
    <t>Economic Volatility</t>
  </si>
  <si>
    <t>COMP_022</t>
  </si>
  <si>
    <t>BioTech Holdings</t>
  </si>
  <si>
    <t>COMP_023</t>
  </si>
  <si>
    <t>PharmaCare Ltd</t>
  </si>
  <si>
    <t>Trade Tariffs</t>
  </si>
  <si>
    <t>COMP_024</t>
  </si>
  <si>
    <t>COMP_025</t>
  </si>
  <si>
    <t>ShopEasy Ltd</t>
  </si>
  <si>
    <t>Inventory Management</t>
  </si>
  <si>
    <t>Omnichannel</t>
  </si>
  <si>
    <t>COMP_026</t>
  </si>
  <si>
    <t>IndustrialTech Group</t>
  </si>
  <si>
    <t>COMP_027</t>
  </si>
  <si>
    <t>WellnessInc Ltd</t>
  </si>
  <si>
    <t>Diversified Portfolio</t>
  </si>
  <si>
    <t>COMP_028</t>
  </si>
  <si>
    <t>CapitalGroup Inc</t>
  </si>
  <si>
    <t>Customer Trust</t>
  </si>
  <si>
    <t>COMP_029</t>
  </si>
  <si>
    <t>InnovateLabs Technologies</t>
  </si>
  <si>
    <t>COMP_030</t>
  </si>
  <si>
    <t>FinanceBank Services</t>
  </si>
  <si>
    <t>COMP_031</t>
  </si>
  <si>
    <t>FinanceBank International</t>
  </si>
  <si>
    <t>Insurance Dependencies</t>
  </si>
  <si>
    <t>Telemedicine</t>
  </si>
  <si>
    <t>COMP_032</t>
  </si>
  <si>
    <t>TechCorp Inc</t>
  </si>
  <si>
    <t>COMP_033</t>
  </si>
  <si>
    <t>WealthMgmt Technologies</t>
  </si>
  <si>
    <t>COMP_034</t>
  </si>
  <si>
    <t>IndustrialTech Technologies</t>
  </si>
  <si>
    <t>Environmental Impact</t>
  </si>
  <si>
    <t>COMP_035</t>
  </si>
  <si>
    <t>Patient Care</t>
  </si>
  <si>
    <t>COMP_036</t>
  </si>
  <si>
    <t>MediCare International</t>
  </si>
  <si>
    <t>Quality Control</t>
  </si>
  <si>
    <t>Customization Trends</t>
  </si>
  <si>
    <t>COMP_037</t>
  </si>
  <si>
    <t>BioTech Ltd</t>
  </si>
  <si>
    <t>COMP_038</t>
  </si>
  <si>
    <t>WellnessInc Partners</t>
  </si>
  <si>
    <t>COMP_039</t>
  </si>
  <si>
    <t>RetailHub Inc</t>
  </si>
  <si>
    <t>High R&amp;D Costs</t>
  </si>
  <si>
    <t>COMP_040</t>
  </si>
  <si>
    <t>High Compliance Costs</t>
  </si>
  <si>
    <t>COMP_041</t>
  </si>
  <si>
    <t>MoneyTrust Corp</t>
  </si>
  <si>
    <t>Seasonal Demand</t>
  </si>
  <si>
    <t>42</t>
  </si>
  <si>
    <t>TechCorp Corp</t>
  </si>
  <si>
    <t>COMP_043</t>
  </si>
  <si>
    <t>Customer Loyalty</t>
  </si>
  <si>
    <t>COMP_044</t>
  </si>
  <si>
    <t>HealthPlus International</t>
  </si>
  <si>
    <t>COMP_045</t>
  </si>
  <si>
    <t>CapitalGroup Solutions</t>
  </si>
  <si>
    <t>Labor Disputes</t>
  </si>
  <si>
    <t>COMP_046</t>
  </si>
  <si>
    <t>HealthPlus Holdings</t>
  </si>
  <si>
    <t>COMP_047</t>
  </si>
  <si>
    <t>IndustrialTech Services</t>
  </si>
  <si>
    <t>COMP_048</t>
  </si>
  <si>
    <t>DataSystems Technologies</t>
  </si>
  <si>
    <t>International Expansion</t>
  </si>
  <si>
    <t>COMP_049</t>
  </si>
  <si>
    <t>SupplyChain Corp</t>
  </si>
  <si>
    <t>COMP_050</t>
  </si>
  <si>
    <t>StoreChain Services</t>
  </si>
  <si>
    <t>COMP_051</t>
  </si>
  <si>
    <t>HealthPlus Group</t>
  </si>
  <si>
    <t>COMP_052</t>
  </si>
  <si>
    <t>SupplyChain Solutions</t>
  </si>
  <si>
    <t>COMP_053</t>
  </si>
  <si>
    <t>MarketPlace Inc</t>
  </si>
  <si>
    <t>COMP_054</t>
  </si>
  <si>
    <t>FinanceBank Partners</t>
  </si>
  <si>
    <t>COMP_055</t>
  </si>
  <si>
    <t>InnovateLabs International</t>
  </si>
  <si>
    <t>COMP_056</t>
  </si>
  <si>
    <t>CloudSolutions International</t>
  </si>
  <si>
    <t>Cost Efficiency</t>
  </si>
  <si>
    <t>COMP_057</t>
  </si>
  <si>
    <t>COMP_058</t>
  </si>
  <si>
    <t>COMP_059</t>
  </si>
  <si>
    <t>InvestmentCorp Solutions</t>
  </si>
  <si>
    <t>High Costs</t>
  </si>
  <si>
    <t>COMP_060</t>
  </si>
  <si>
    <t>PharmaCare International</t>
  </si>
  <si>
    <t>COMP_061</t>
  </si>
  <si>
    <t>ConsumerGoods Group</t>
  </si>
  <si>
    <t>Lawsuits</t>
  </si>
  <si>
    <t>COMP_062</t>
  </si>
  <si>
    <t>ConsumerGoods Technologies</t>
  </si>
  <si>
    <t>COMP_063</t>
  </si>
  <si>
    <t>RetailHub Holdings</t>
  </si>
  <si>
    <t>COMP_064</t>
  </si>
  <si>
    <t>WealthMgmt Partners</t>
  </si>
  <si>
    <t>COMP_065</t>
  </si>
  <si>
    <t>TechCorp Technologies</t>
  </si>
  <si>
    <t>Sustainable Manufacturing</t>
  </si>
  <si>
    <t>COMP_066</t>
  </si>
  <si>
    <t>RetailHub International</t>
  </si>
  <si>
    <t>IoT Expansion</t>
  </si>
  <si>
    <t>COMP_067</t>
  </si>
  <si>
    <t>InnovateLabs Partners</t>
  </si>
  <si>
    <t>COMP_068</t>
  </si>
  <si>
    <t>TechCorp Services</t>
  </si>
  <si>
    <t>COMP_069</t>
  </si>
  <si>
    <t>Wealth Management</t>
  </si>
  <si>
    <t>COMP_070</t>
  </si>
  <si>
    <t>HealthPlus Solutions</t>
  </si>
  <si>
    <t>COMP_071</t>
  </si>
  <si>
    <t>StoreChain Solutions</t>
  </si>
  <si>
    <t>COMP_072</t>
  </si>
  <si>
    <t>ShopEasy International</t>
  </si>
  <si>
    <t>COMP_073</t>
  </si>
  <si>
    <t>COMP_074</t>
  </si>
  <si>
    <t>RetailHub Corp</t>
  </si>
  <si>
    <t>COMP_075</t>
  </si>
  <si>
    <t>COMP_076</t>
  </si>
  <si>
    <t>ConsumerGoods Corp</t>
  </si>
  <si>
    <t>COMP_077</t>
  </si>
  <si>
    <t>BioTech Solutions</t>
  </si>
  <si>
    <t>COMP_078</t>
  </si>
  <si>
    <t>MediCare Partners</t>
  </si>
  <si>
    <t>Innovation</t>
  </si>
  <si>
    <t>COMP_079</t>
  </si>
  <si>
    <t>WealthMgmt International</t>
  </si>
  <si>
    <t>COMP_080</t>
  </si>
  <si>
    <t>BioTech Partners</t>
  </si>
  <si>
    <t>COMP_081</t>
  </si>
  <si>
    <t>ManufactCo Ltd</t>
  </si>
  <si>
    <t>COMP_082</t>
  </si>
  <si>
    <t>MediCare Corp</t>
  </si>
  <si>
    <t>COMP_083</t>
  </si>
  <si>
    <t>ShopEasy Services</t>
  </si>
  <si>
    <t>COMP_084</t>
  </si>
  <si>
    <t>CapitalGroup Services</t>
  </si>
  <si>
    <t>COMP_085</t>
  </si>
  <si>
    <t>PharmaCare Holdings</t>
  </si>
  <si>
    <t>COMP_086</t>
  </si>
  <si>
    <t>COMP_087</t>
  </si>
  <si>
    <t>CloudSolutions Inc</t>
  </si>
  <si>
    <t>COMP_088</t>
  </si>
  <si>
    <t>ProductionInc Technologies</t>
  </si>
  <si>
    <t>COMP_089</t>
  </si>
  <si>
    <t>StoreChain International</t>
  </si>
  <si>
    <t>COMP_090</t>
  </si>
  <si>
    <t>MediCare Technologies</t>
  </si>
  <si>
    <t>COMP_091</t>
  </si>
  <si>
    <t>TechCorp Group</t>
  </si>
  <si>
    <t>COMP_092</t>
  </si>
  <si>
    <t>MarketPlace Ltd</t>
  </si>
  <si>
    <t>COMP_093</t>
  </si>
  <si>
    <t>COMP_094</t>
  </si>
  <si>
    <t>COMP_095</t>
  </si>
  <si>
    <t>CapitalGroup Partners</t>
  </si>
  <si>
    <t>COMP_096</t>
  </si>
  <si>
    <t>CapitalGroup Ltd</t>
  </si>
  <si>
    <t>COMP_097</t>
  </si>
  <si>
    <t>COMP_098</t>
  </si>
  <si>
    <t>ProductionInc Services</t>
  </si>
  <si>
    <t>99</t>
  </si>
  <si>
    <t>FinanceBank Solutions</t>
  </si>
  <si>
    <t/>
  </si>
  <si>
    <t>ConsumerGoods Ltd</t>
  </si>
  <si>
    <t>COMP_101</t>
  </si>
  <si>
    <t>COMP_102</t>
  </si>
  <si>
    <t>COMP_103</t>
  </si>
  <si>
    <t>ManufactCo Solutions</t>
  </si>
  <si>
    <t>COMP_104</t>
  </si>
  <si>
    <t>MoneyTrust Group</t>
  </si>
  <si>
    <t>COMP_105</t>
  </si>
  <si>
    <t>MediCare Group</t>
  </si>
  <si>
    <t>COMP_106</t>
  </si>
  <si>
    <t>IndustrialTech International</t>
  </si>
  <si>
    <t>COMP_107</t>
  </si>
  <si>
    <t>COMP_108</t>
  </si>
  <si>
    <t>WellnessInc Technologies</t>
  </si>
  <si>
    <t>COMP_109</t>
  </si>
  <si>
    <t>DigitalWorks Solutions</t>
  </si>
  <si>
    <t>COMP_110</t>
  </si>
  <si>
    <t>COMP_111</t>
  </si>
  <si>
    <t>InvestmentCorp International</t>
  </si>
  <si>
    <t>COMP_112</t>
  </si>
  <si>
    <t>ShopEasy Holdings</t>
  </si>
  <si>
    <t>COMP_113</t>
  </si>
  <si>
    <t>ProductionInc Group</t>
  </si>
  <si>
    <t>114</t>
  </si>
  <si>
    <t>COMP_115</t>
  </si>
  <si>
    <t>RetailHub Group</t>
  </si>
  <si>
    <t>COMP_116</t>
  </si>
  <si>
    <t>CloudSolutions Solutions</t>
  </si>
  <si>
    <t>COMP_117</t>
  </si>
  <si>
    <t>BioTech Services</t>
  </si>
  <si>
    <t>Medical Expertise</t>
  </si>
  <si>
    <t>COMP_118</t>
  </si>
  <si>
    <t>ManufactCo International</t>
  </si>
  <si>
    <t>COMP_119</t>
  </si>
  <si>
    <t>InvestmentCorp Services</t>
  </si>
  <si>
    <t>COMP_120</t>
  </si>
  <si>
    <t>COMP_121</t>
  </si>
  <si>
    <t>COMP_122</t>
  </si>
  <si>
    <t>MoneyTrust Inc</t>
  </si>
  <si>
    <t>COMP_123</t>
  </si>
  <si>
    <t>COMP_124</t>
  </si>
  <si>
    <t>DigitalWorks Corp</t>
  </si>
  <si>
    <t>COMP_125</t>
  </si>
  <si>
    <t>COMP_127</t>
  </si>
  <si>
    <t>PharmaCare Technologies</t>
  </si>
  <si>
    <t>COMP_128</t>
  </si>
  <si>
    <t>WealthMgmt Services</t>
  </si>
  <si>
    <t>COMP_129</t>
  </si>
  <si>
    <t>TechCorp Holdings</t>
  </si>
  <si>
    <t>COMP_130</t>
  </si>
  <si>
    <t>RetailHub Ltd</t>
  </si>
  <si>
    <t>COMP_131</t>
  </si>
  <si>
    <t>COMP_132</t>
  </si>
  <si>
    <t>MoneyTrust International</t>
  </si>
  <si>
    <t>COMP_133</t>
  </si>
  <si>
    <t>InvestmentCorp Group</t>
  </si>
  <si>
    <t>COMP_134</t>
  </si>
  <si>
    <t>FactoryWorks Solutions</t>
  </si>
  <si>
    <t>COMP_135</t>
  </si>
  <si>
    <t>FactoryWorks Partners</t>
  </si>
  <si>
    <t>COMP_136</t>
  </si>
  <si>
    <t>FactoryWorks Technologies</t>
  </si>
  <si>
    <t>COMP_137</t>
  </si>
  <si>
    <t>COMP_138</t>
  </si>
  <si>
    <t>COMP_139</t>
  </si>
  <si>
    <t>RetailHub Solutions</t>
  </si>
  <si>
    <t>COMP_140</t>
  </si>
  <si>
    <t>COMP_141</t>
  </si>
  <si>
    <t>COMP_142</t>
  </si>
  <si>
    <t>COMP_143</t>
  </si>
  <si>
    <t>WealthMgmt Corp</t>
  </si>
  <si>
    <t>COMP_144</t>
  </si>
  <si>
    <t>ManufactCo Holdings</t>
  </si>
  <si>
    <t>COMP_145</t>
  </si>
  <si>
    <t>ConsumerGoods Inc</t>
  </si>
  <si>
    <t>COMP_146</t>
  </si>
  <si>
    <t>COMP_147</t>
  </si>
  <si>
    <t>InnovateLabs Group</t>
  </si>
  <si>
    <t>COMP_148</t>
  </si>
  <si>
    <t>COMP_149</t>
  </si>
  <si>
    <t>StoreChain Partners</t>
  </si>
  <si>
    <t>COMP_150</t>
  </si>
  <si>
    <t>RetailHub Technologies</t>
  </si>
  <si>
    <t>COMP_151</t>
  </si>
  <si>
    <t>FinanceBank Corp</t>
  </si>
  <si>
    <t>COMP_152</t>
  </si>
  <si>
    <t>DigitalWorks Partners</t>
  </si>
  <si>
    <t>COMP_153</t>
  </si>
  <si>
    <t>COMP_154</t>
  </si>
  <si>
    <t>ProductionInc Partners</t>
  </si>
  <si>
    <t>COMP_155</t>
  </si>
  <si>
    <t>COMP_156</t>
  </si>
  <si>
    <t>WellnessInc Solutions</t>
  </si>
  <si>
    <t>157</t>
  </si>
  <si>
    <t>FinanceBank Ltd</t>
  </si>
  <si>
    <t>COMP_158</t>
  </si>
  <si>
    <t>COMP_159</t>
  </si>
  <si>
    <t>DigitalWorks Ltd</t>
  </si>
  <si>
    <t>COMP_160</t>
  </si>
  <si>
    <t>COMP_161</t>
  </si>
  <si>
    <t>ManufactCo Partners</t>
  </si>
  <si>
    <t>COMP_162</t>
  </si>
  <si>
    <t>StoreChain Holdings</t>
  </si>
  <si>
    <t>COMP_163</t>
  </si>
  <si>
    <t>COMP_164</t>
  </si>
  <si>
    <t>COMP_165</t>
  </si>
  <si>
    <t>WellnessInc Corp</t>
  </si>
  <si>
    <t>COMP_166</t>
  </si>
  <si>
    <t>DigitalWorks International</t>
  </si>
  <si>
    <t>COMP_167</t>
  </si>
  <si>
    <t>TechCorp Solutions</t>
  </si>
  <si>
    <t>COMP_168</t>
  </si>
  <si>
    <t>DataSystems Solutions</t>
  </si>
  <si>
    <t>COMP_169</t>
  </si>
  <si>
    <t>InnovateLabs Holdings</t>
  </si>
  <si>
    <t>COMP_170</t>
  </si>
  <si>
    <t>RetailHub Partners</t>
  </si>
  <si>
    <t>COMP_171</t>
  </si>
  <si>
    <t>COMP_172</t>
  </si>
  <si>
    <t>COMP_173</t>
  </si>
  <si>
    <t>HealthPlus Ltd</t>
  </si>
  <si>
    <t>COMP_174</t>
  </si>
  <si>
    <t>IndustrialTech Solutions</t>
  </si>
  <si>
    <t>COMP_175</t>
  </si>
  <si>
    <t>PharmaCare Group</t>
  </si>
  <si>
    <t>COMP_176</t>
  </si>
  <si>
    <t>InnovateLabs Solutions</t>
  </si>
  <si>
    <t>COMP_177</t>
  </si>
  <si>
    <t>WellnessInc International</t>
  </si>
  <si>
    <t>COMP_178</t>
  </si>
  <si>
    <t>FactoryWorks Ltd</t>
  </si>
  <si>
    <t>COMP_179</t>
  </si>
  <si>
    <t>MoneyTrust Technologies</t>
  </si>
  <si>
    <t>COMP_180</t>
  </si>
  <si>
    <t>COMP_181</t>
  </si>
  <si>
    <t>ManufactCo Technologies</t>
  </si>
  <si>
    <t>COMP_182</t>
  </si>
  <si>
    <t>COMP_183</t>
  </si>
  <si>
    <t>COMP_184</t>
  </si>
  <si>
    <t>COMP_185</t>
  </si>
  <si>
    <t>COMP_186</t>
  </si>
  <si>
    <t>InvestmentCorp Partners</t>
  </si>
  <si>
    <t>COMP_187</t>
  </si>
  <si>
    <t>SupplyChain Group</t>
  </si>
  <si>
    <t>COMP_188</t>
  </si>
  <si>
    <t>189</t>
  </si>
  <si>
    <t>COMP_190</t>
  </si>
  <si>
    <t>COMP_191</t>
  </si>
  <si>
    <t>DataSystems Corp</t>
  </si>
  <si>
    <t>COMP_192</t>
  </si>
  <si>
    <t>DataSystems Partners</t>
  </si>
  <si>
    <t>COMP_193</t>
  </si>
  <si>
    <t>FactoryWorks Group</t>
  </si>
  <si>
    <t>COMP_194</t>
  </si>
  <si>
    <t>COMP_195</t>
  </si>
  <si>
    <t>COMP_196</t>
  </si>
  <si>
    <t>COMP_197</t>
  </si>
  <si>
    <t>InvestmentCorp Inc</t>
  </si>
  <si>
    <t>COMP_198</t>
  </si>
  <si>
    <t>COMP_199</t>
  </si>
  <si>
    <t>COMP_200</t>
  </si>
  <si>
    <t>InnovateLabs Inc</t>
  </si>
  <si>
    <t>COMP_201</t>
  </si>
  <si>
    <t>COMP_202</t>
  </si>
  <si>
    <t>COMP_203</t>
  </si>
  <si>
    <t>COMP_204</t>
  </si>
  <si>
    <t>WealthMgmt Group</t>
  </si>
  <si>
    <t>COMP_205</t>
  </si>
  <si>
    <t>FactoryWorks Services</t>
  </si>
  <si>
    <t>COMP_206</t>
  </si>
  <si>
    <t>COMP_207</t>
  </si>
  <si>
    <t>COMP_208</t>
  </si>
  <si>
    <t>DataSystems Holdings</t>
  </si>
  <si>
    <t>COMP_209</t>
  </si>
  <si>
    <t>COMP_210</t>
  </si>
  <si>
    <t>DataSystems Ltd</t>
  </si>
  <si>
    <t>COMP_211</t>
  </si>
  <si>
    <t>COMP_212</t>
  </si>
  <si>
    <t>FinanceBank Inc</t>
  </si>
  <si>
    <t>COMP_213</t>
  </si>
  <si>
    <t>CapitalGroup Holdings</t>
  </si>
  <si>
    <t>COMP_214</t>
  </si>
  <si>
    <t>COMP_215</t>
  </si>
  <si>
    <t>COMP_216</t>
  </si>
  <si>
    <t>SupplyChain Services</t>
  </si>
  <si>
    <t>COMP_217</t>
  </si>
  <si>
    <t>InvestmentCorp Corp</t>
  </si>
  <si>
    <t>COMP_218</t>
  </si>
  <si>
    <t>COMP_219</t>
  </si>
  <si>
    <t>COMP_220</t>
  </si>
  <si>
    <t>WealthMgmt Holdings</t>
  </si>
  <si>
    <t>COMP_221</t>
  </si>
  <si>
    <t>COMP_222</t>
  </si>
  <si>
    <t>FinanceBank Group</t>
  </si>
  <si>
    <t>COMP_223</t>
  </si>
  <si>
    <t>BioTech Corp</t>
  </si>
  <si>
    <t>COMP_224</t>
  </si>
  <si>
    <t>COMP_225</t>
  </si>
  <si>
    <t>FactoryWorks Corp</t>
  </si>
  <si>
    <t>COMP_226</t>
  </si>
  <si>
    <t>COMP_227</t>
  </si>
  <si>
    <t>COMP_228</t>
  </si>
  <si>
    <t>COMP_229</t>
  </si>
  <si>
    <t>COMP_230</t>
  </si>
  <si>
    <t>CloudSolutions Technologies</t>
  </si>
  <si>
    <t>COMP_231</t>
  </si>
  <si>
    <t>CapitalGroup Corp</t>
  </si>
  <si>
    <t>COMP_232</t>
  </si>
  <si>
    <t>COMP_233</t>
  </si>
  <si>
    <t>COMP_234</t>
  </si>
  <si>
    <t>COMP_235</t>
  </si>
  <si>
    <t>DataSystems Inc</t>
  </si>
  <si>
    <t>COMP_236</t>
  </si>
  <si>
    <t>COMP_237</t>
  </si>
  <si>
    <t>COMP_238</t>
  </si>
  <si>
    <t>COMP_239</t>
  </si>
  <si>
    <t>SupplyChain International</t>
  </si>
  <si>
    <t>COMP_240</t>
  </si>
  <si>
    <t>241</t>
  </si>
  <si>
    <t>COMP_242</t>
  </si>
  <si>
    <t>COMP_243</t>
  </si>
  <si>
    <t>FinanceBank Technologies</t>
  </si>
  <si>
    <t>COMP_244</t>
  </si>
  <si>
    <t>MoneyTrust Holdings</t>
  </si>
  <si>
    <t>COMP_245</t>
  </si>
  <si>
    <t>COMP_246</t>
  </si>
  <si>
    <t>COMP_247</t>
  </si>
  <si>
    <t>FactoryWorks Holdings</t>
  </si>
  <si>
    <t>COMP_248</t>
  </si>
  <si>
    <t>SupplyChain Partners</t>
  </si>
  <si>
    <t>COMP_249</t>
  </si>
  <si>
    <t>COMP_250</t>
  </si>
  <si>
    <t>COMP_251</t>
  </si>
  <si>
    <t>COMP_252</t>
  </si>
  <si>
    <t>COMP_253</t>
  </si>
  <si>
    <t>COMP_254</t>
  </si>
  <si>
    <t>ConsumerGoods Partners</t>
  </si>
  <si>
    <t>COMP_255</t>
  </si>
  <si>
    <t>COMP_256</t>
  </si>
  <si>
    <t>CapitalGroup Technologies</t>
  </si>
  <si>
    <t>COMP_257</t>
  </si>
  <si>
    <t>COMP_258</t>
  </si>
  <si>
    <t>COMP_259</t>
  </si>
  <si>
    <t>COMP_260</t>
  </si>
  <si>
    <t>StoreChain Inc</t>
  </si>
  <si>
    <t>COMP_261</t>
  </si>
  <si>
    <t>COMP_262</t>
  </si>
  <si>
    <t>COMP_263</t>
  </si>
  <si>
    <t>COMP_264</t>
  </si>
  <si>
    <t>COMP_265</t>
  </si>
  <si>
    <t>ProductionInc Corp</t>
  </si>
  <si>
    <t>COMP_266</t>
  </si>
  <si>
    <t>COMP_267</t>
  </si>
  <si>
    <t>COMP_268</t>
  </si>
  <si>
    <t>StoreChain Ltd</t>
  </si>
  <si>
    <t>COMP_269</t>
  </si>
  <si>
    <t>DigitalWorks Inc</t>
  </si>
  <si>
    <t>COMP_270</t>
  </si>
  <si>
    <t>IndustrialTech Corp</t>
  </si>
  <si>
    <t>COMP_271</t>
  </si>
  <si>
    <t>WealthMgmt Solutions</t>
  </si>
  <si>
    <t>COMP_272</t>
  </si>
  <si>
    <t>COMP_273</t>
  </si>
  <si>
    <t>COMP_274</t>
  </si>
  <si>
    <t>COMP_275</t>
  </si>
  <si>
    <t>COMP_276</t>
  </si>
  <si>
    <t>COMP_277</t>
  </si>
  <si>
    <t>COMP_278</t>
  </si>
  <si>
    <t>COMP_279</t>
  </si>
  <si>
    <t>COMP_280</t>
  </si>
  <si>
    <t>MediCare Holdings</t>
  </si>
  <si>
    <t>COMP_281</t>
  </si>
  <si>
    <t>CapitalGroup International</t>
  </si>
  <si>
    <t>COMP_282</t>
  </si>
  <si>
    <t>COMP_283</t>
  </si>
  <si>
    <t>COMP_284</t>
  </si>
  <si>
    <t>COMP_285</t>
  </si>
  <si>
    <t>PharmaCare Services</t>
  </si>
  <si>
    <t>COMP_287</t>
  </si>
  <si>
    <t>COMP_288</t>
  </si>
  <si>
    <t>COMP_289</t>
  </si>
  <si>
    <t>COMP_290</t>
  </si>
  <si>
    <t>COMP_291</t>
  </si>
  <si>
    <t>COMP_292</t>
  </si>
  <si>
    <t>SupplyChain Technologies</t>
  </si>
  <si>
    <t>COMP_293</t>
  </si>
  <si>
    <t>COMP_294</t>
  </si>
  <si>
    <t>CloudSolutions Services</t>
  </si>
  <si>
    <t>COMP_295</t>
  </si>
  <si>
    <t>COMP_296</t>
  </si>
  <si>
    <t>COMP_297</t>
  </si>
  <si>
    <t>HealthPlus Services</t>
  </si>
  <si>
    <t>298</t>
  </si>
  <si>
    <t>ManufactCo Services</t>
  </si>
  <si>
    <t>COMP_299</t>
  </si>
  <si>
    <t>COMP_300</t>
  </si>
  <si>
    <t>IndustrialTech Partners</t>
  </si>
  <si>
    <t>company_id (raw)</t>
  </si>
  <si>
    <t>company_id (clean)</t>
  </si>
  <si>
    <t>company_name (raw)</t>
  </si>
  <si>
    <t>company_name (clean)</t>
  </si>
  <si>
    <t>industry (raw)</t>
  </si>
  <si>
    <t>industry (clean)</t>
  </si>
  <si>
    <t>founded_year (raw)</t>
  </si>
  <si>
    <t>founded_year (clean)</t>
  </si>
  <si>
    <t>COMP_008</t>
  </si>
  <si>
    <t>COMP_042</t>
  </si>
  <si>
    <t>COMP_099</t>
  </si>
  <si>
    <t>COMP_100</t>
  </si>
  <si>
    <t>COMP_114</t>
  </si>
  <si>
    <t>COMP_126</t>
  </si>
  <si>
    <t>COMP_157</t>
  </si>
  <si>
    <t>COMP_189</t>
  </si>
  <si>
    <t>COMP_241</t>
  </si>
  <si>
    <t>COMP_286</t>
  </si>
  <si>
    <t>COMP_298</t>
  </si>
  <si>
    <t>Bio Tech Inc</t>
  </si>
  <si>
    <t>Wellness Inc Services</t>
  </si>
  <si>
    <t>Digital Works Group</t>
  </si>
  <si>
    <t>Retail Hub Services</t>
  </si>
  <si>
    <t>Bio Tech International</t>
  </si>
  <si>
    <t>Market Place Partners</t>
  </si>
  <si>
    <t>Shop Easy Technologies</t>
  </si>
  <si>
    <t>Health Plus Partners</t>
  </si>
  <si>
    <t>Medi Care Solutions</t>
  </si>
  <si>
    <t>Wealth Mgmt Inc</t>
  </si>
  <si>
    <t>Investment Corp Ltd</t>
  </si>
  <si>
    <t>Consumer Goods Solutions</t>
  </si>
  <si>
    <t>Industrial Tech Holdings</t>
  </si>
  <si>
    <t>Money Trust Partners</t>
  </si>
  <si>
    <t>Investment Corp Technologies</t>
  </si>
  <si>
    <t>Wealth Mgmt Ltd</t>
  </si>
  <si>
    <t>Pharma Care Solutions</t>
  </si>
  <si>
    <t>Consumer Goods Services</t>
  </si>
  <si>
    <t>Shop Easy Inc</t>
  </si>
  <si>
    <t>Bio Tech Holdings</t>
  </si>
  <si>
    <t>Pharma Care Ltd</t>
  </si>
  <si>
    <t>Shop Easy Ltd</t>
  </si>
  <si>
    <t>Industrial Tech Group</t>
  </si>
  <si>
    <t>Wellness Inc Ltd</t>
  </si>
  <si>
    <t>Capital Group Inc</t>
  </si>
  <si>
    <t>Innovate Labs Technologies</t>
  </si>
  <si>
    <t>Finance Bank Services</t>
  </si>
  <si>
    <t>Finance Bank International</t>
  </si>
  <si>
    <t>Tech Corp Inc</t>
  </si>
  <si>
    <t>Wealth Mgmt Technologies</t>
  </si>
  <si>
    <t>Industrial Tech Technologies</t>
  </si>
  <si>
    <t>Medi Care International</t>
  </si>
  <si>
    <t>Bio Tech Ltd</t>
  </si>
  <si>
    <t>Wellness Inc Partners</t>
  </si>
  <si>
    <t>Retail Hub Inc</t>
  </si>
  <si>
    <t>Money Trust Corp</t>
  </si>
  <si>
    <t>Tech Corp Corp</t>
  </si>
  <si>
    <t>Health Plus International</t>
  </si>
  <si>
    <t>Capital Group Solutions</t>
  </si>
  <si>
    <t>Health Plus Holdings</t>
  </si>
  <si>
    <t>Industrial Tech Services</t>
  </si>
  <si>
    <t>Data Systems Technologies</t>
  </si>
  <si>
    <t>Supply Chain Corp</t>
  </si>
  <si>
    <t>Store Chain Services</t>
  </si>
  <si>
    <t>Health Plus Group</t>
  </si>
  <si>
    <t>Supply Chain Solutions</t>
  </si>
  <si>
    <t>Market Place Inc</t>
  </si>
  <si>
    <t>Finance Bank Partners</t>
  </si>
  <si>
    <t>Innovate Labs International</t>
  </si>
  <si>
    <t>Cloud Solutions International</t>
  </si>
  <si>
    <t>Investment Corp Solutions</t>
  </si>
  <si>
    <t>Pharma Care International</t>
  </si>
  <si>
    <t>Consumer Goods Group</t>
  </si>
  <si>
    <t>Consumer Goods Technologies</t>
  </si>
  <si>
    <t>Retail Hub Holdings</t>
  </si>
  <si>
    <t>Wealth Mgmt Partners</t>
  </si>
  <si>
    <t>Tech Corp Technologies</t>
  </si>
  <si>
    <t>Retail Hub International</t>
  </si>
  <si>
    <t>Innovate Labs Partners</t>
  </si>
  <si>
    <t>Tech Corp Services</t>
  </si>
  <si>
    <t>Health Plus Solutions</t>
  </si>
  <si>
    <t>Store Chain Solutions</t>
  </si>
  <si>
    <t>Shop Easy International</t>
  </si>
  <si>
    <t>Retail Hub Corp</t>
  </si>
  <si>
    <t>Consumer Goods Corp</t>
  </si>
  <si>
    <t>Bio Tech Solutions</t>
  </si>
  <si>
    <t>Medi Care Partners</t>
  </si>
  <si>
    <t>Wealth Mgmt International</t>
  </si>
  <si>
    <t>Bio Tech Partners</t>
  </si>
  <si>
    <t>Manufact Co Ltd</t>
  </si>
  <si>
    <t>Medi Care Corp</t>
  </si>
  <si>
    <t>Shop Easy Services</t>
  </si>
  <si>
    <t>Capital Group Services</t>
  </si>
  <si>
    <t>Pharma Care Holdings</t>
  </si>
  <si>
    <t>Cloud Solutions Inc</t>
  </si>
  <si>
    <t>Production Inc Technologies</t>
  </si>
  <si>
    <t>Store Chain International</t>
  </si>
  <si>
    <t>Medi Care Technologies</t>
  </si>
  <si>
    <t>Tech Corp Group</t>
  </si>
  <si>
    <t>Market Place Ltd</t>
  </si>
  <si>
    <t>Capital Group Partners</t>
  </si>
  <si>
    <t>Capital Group Ltd</t>
  </si>
  <si>
    <t>Production Inc Services</t>
  </si>
  <si>
    <t>Finance Bank Solutions</t>
  </si>
  <si>
    <t>Consumer Goods Ltd</t>
  </si>
  <si>
    <t>Manufact Co Solutions</t>
  </si>
  <si>
    <t>Money Trust Group</t>
  </si>
  <si>
    <t>Medi Care Group</t>
  </si>
  <si>
    <t>Industrial Tech International</t>
  </si>
  <si>
    <t>Wellness Inc Technologies</t>
  </si>
  <si>
    <t>Digital Works Solutions</t>
  </si>
  <si>
    <t>Investment Corp International</t>
  </si>
  <si>
    <t>Shop Easy Holdings</t>
  </si>
  <si>
    <t>Production Inc Group</t>
  </si>
  <si>
    <t>Retail Hub Group</t>
  </si>
  <si>
    <t>Cloud Solutions Solutions</t>
  </si>
  <si>
    <t>Bio Tech Services</t>
  </si>
  <si>
    <t>Manufact Co International</t>
  </si>
  <si>
    <t>Investment Corp Services</t>
  </si>
  <si>
    <t>Money Trust Inc</t>
  </si>
  <si>
    <t>Digital Works Corp</t>
  </si>
  <si>
    <t>Pharma Care Technologies</t>
  </si>
  <si>
    <t>Wealth Mgmt Services</t>
  </si>
  <si>
    <t>Tech Corp Holdings</t>
  </si>
  <si>
    <t>Retail Hub Ltd</t>
  </si>
  <si>
    <t>Money Trust International</t>
  </si>
  <si>
    <t>Investment Corp Group</t>
  </si>
  <si>
    <t>Factory Works Solutions</t>
  </si>
  <si>
    <t>Factory Works Partners</t>
  </si>
  <si>
    <t>Factory Works Technologies</t>
  </si>
  <si>
    <t>Retail Hub Solutions</t>
  </si>
  <si>
    <t>Wealth Mgmt Corp</t>
  </si>
  <si>
    <t>Manufact Co Holdings</t>
  </si>
  <si>
    <t>Consumer Goods Inc</t>
  </si>
  <si>
    <t>Innovate Labs Group</t>
  </si>
  <si>
    <t>Store Chain Partners</t>
  </si>
  <si>
    <t>Retail Hub Technologies</t>
  </si>
  <si>
    <t>Finance Bank Corp</t>
  </si>
  <si>
    <t>Digital Works Partners</t>
  </si>
  <si>
    <t>Production Inc Partners</t>
  </si>
  <si>
    <t>Wellness Inc Solutions</t>
  </si>
  <si>
    <t>Finance Bank Ltd</t>
  </si>
  <si>
    <t>Digital Works Ltd</t>
  </si>
  <si>
    <t>Manufact Co Partners</t>
  </si>
  <si>
    <t>Store Chain Holdings</t>
  </si>
  <si>
    <t>Wellness Inc Corp</t>
  </si>
  <si>
    <t>Digital Works International</t>
  </si>
  <si>
    <t>Tech Corp Solutions</t>
  </si>
  <si>
    <t>Data Systems Solutions</t>
  </si>
  <si>
    <t>Innovate Labs Holdings</t>
  </si>
  <si>
    <t>Retail Hub Partners</t>
  </si>
  <si>
    <t>Health Plus Ltd</t>
  </si>
  <si>
    <t>Industrial Tech Solutions</t>
  </si>
  <si>
    <t>Pharma Care Group</t>
  </si>
  <si>
    <t>Innovate Labs Solutions</t>
  </si>
  <si>
    <t>Wellness Inc International</t>
  </si>
  <si>
    <t>Factory Works Ltd</t>
  </si>
  <si>
    <t>Money Trust Technologies</t>
  </si>
  <si>
    <t>Manufact Co Technologies</t>
  </si>
  <si>
    <t>Investment Corp Partners</t>
  </si>
  <si>
    <t>Supply Chain Group</t>
  </si>
  <si>
    <t>Data Systems Corp</t>
  </si>
  <si>
    <t>Data Systems Partners</t>
  </si>
  <si>
    <t>Factory Works Group</t>
  </si>
  <si>
    <t>Investment Corp Inc</t>
  </si>
  <si>
    <t>Innovate Labs Inc</t>
  </si>
  <si>
    <t>Wealth Mgmt Group</t>
  </si>
  <si>
    <t>Factory Works Services</t>
  </si>
  <si>
    <t>Data Systems Holdings</t>
  </si>
  <si>
    <t>Data Systems Ltd</t>
  </si>
  <si>
    <t>Finance Bank Inc</t>
  </si>
  <si>
    <t>Capital Group Holdings</t>
  </si>
  <si>
    <t>Supply Chain Services</t>
  </si>
  <si>
    <t>Investment Corp Corp</t>
  </si>
  <si>
    <t>Wealth Mgmt Holdings</t>
  </si>
  <si>
    <t>Finance Bank Group</t>
  </si>
  <si>
    <t>Bio Tech Corp</t>
  </si>
  <si>
    <t>Factory Works Corp</t>
  </si>
  <si>
    <t>Cloud Solutions Technologies</t>
  </si>
  <si>
    <t>Capital Group Corp</t>
  </si>
  <si>
    <t>Data Systems Inc</t>
  </si>
  <si>
    <t>Supply Chain International</t>
  </si>
  <si>
    <t>Finance Bank Technologies</t>
  </si>
  <si>
    <t>Money Trust Holdings</t>
  </si>
  <si>
    <t>Factory Works Holdings</t>
  </si>
  <si>
    <t>Supply Chain Partners</t>
  </si>
  <si>
    <t>Consumer Goods Partners</t>
  </si>
  <si>
    <t>Capital Group Technologies</t>
  </si>
  <si>
    <t>Store Chain Inc</t>
  </si>
  <si>
    <t>Production Inc Corp</t>
  </si>
  <si>
    <t>Store Chain Ltd</t>
  </si>
  <si>
    <t>Digital Works Inc</t>
  </si>
  <si>
    <t>Industrial Tech Corp</t>
  </si>
  <si>
    <t>Wealth Mgmt Solutions</t>
  </si>
  <si>
    <t>Medi Care Holdings</t>
  </si>
  <si>
    <t>Capital Group International</t>
  </si>
  <si>
    <t>Pharma Care Services</t>
  </si>
  <si>
    <t>Supply Chain Technologies</t>
  </si>
  <si>
    <t>Cloud Solutions Services</t>
  </si>
  <si>
    <t>Health Plus Services</t>
  </si>
  <si>
    <t>Manufact Co Services</t>
  </si>
  <si>
    <t>Industrial Tech Partners</t>
  </si>
  <si>
    <t xml:space="preserve">revenue_millions </t>
  </si>
  <si>
    <t xml:space="preserve">profitability_margin </t>
  </si>
  <si>
    <t xml:space="preserve">strength_score </t>
  </si>
  <si>
    <t xml:space="preserve">weakness_score </t>
  </si>
  <si>
    <t xml:space="preserve">opportunity_score </t>
  </si>
  <si>
    <t xml:space="preserve">threat_score </t>
  </si>
  <si>
    <t xml:space="preserve">primary_strength </t>
  </si>
  <si>
    <t xml:space="preserve">primary_weakness </t>
  </si>
  <si>
    <t xml:space="preserve">primary_opportunity </t>
  </si>
  <si>
    <t xml:space="preserve">primary_threat </t>
  </si>
  <si>
    <t xml:space="preserve">market_position </t>
  </si>
  <si>
    <t xml:space="preserve">swot_rating </t>
  </si>
  <si>
    <t>No changes were made.</t>
  </si>
  <si>
    <t>Values exceeding 4 digits were identified and corrected using the LEN formula.</t>
  </si>
  <si>
    <t>Power Query→Split Column → Merge Columns (using space as a delimiter)</t>
  </si>
  <si>
    <t>Power Query→Custom column was added in Power Query, raw data was marked in yellow, and duplicates were highlighted in red.</t>
  </si>
  <si>
    <t>Before&amp;After Comparison</t>
  </si>
  <si>
    <t xml:space="preserve">Total Rows: </t>
  </si>
  <si>
    <t xml:space="preserve">Duplicates: </t>
  </si>
  <si>
    <t>Columns:</t>
  </si>
  <si>
    <t xml:space="preserve">Before </t>
  </si>
  <si>
    <t>After</t>
  </si>
  <si>
    <t>Invalid year</t>
  </si>
  <si>
    <t>Before&amp;After Summary</t>
  </si>
  <si>
    <t>company_id</t>
  </si>
  <si>
    <t>Merged</t>
  </si>
  <si>
    <t>industry</t>
  </si>
  <si>
    <t>founded_year</t>
  </si>
  <si>
    <t>revenue_millions</t>
  </si>
  <si>
    <t>profitability_margin</t>
  </si>
  <si>
    <t>strength_score</t>
  </si>
  <si>
    <t>weakness_score</t>
  </si>
  <si>
    <t>opportunity_score</t>
  </si>
  <si>
    <t>threat_score</t>
  </si>
  <si>
    <t>primary_strength</t>
  </si>
  <si>
    <t>primary_weakness</t>
  </si>
  <si>
    <t>primary_opportunity</t>
  </si>
  <si>
    <t>primary_threat</t>
  </si>
  <si>
    <t>market_position</t>
  </si>
  <si>
    <t>swot_rating</t>
  </si>
  <si>
    <t>Grand Total</t>
  </si>
  <si>
    <t>Average of profitability_margin</t>
  </si>
  <si>
    <t>No changes were made to the following fields:
employee_count, revenue_millions, profitability_margin, strength_score, weakness_score, opportunity_score, threat_score, primary_strength, primary_weakness, primary_opportunity, primary_threat, market_position, swot_rating</t>
  </si>
  <si>
    <t>Count of company_id</t>
  </si>
  <si>
    <t>Row Labels</t>
  </si>
  <si>
    <t>Average of revenue_millions</t>
  </si>
  <si>
    <t>Strength</t>
  </si>
  <si>
    <t>Weakness</t>
  </si>
  <si>
    <t>Opportunity</t>
  </si>
  <si>
    <t>Threat</t>
  </si>
  <si>
    <t>Column Labels</t>
  </si>
  <si>
    <t>Average of strength_score</t>
  </si>
  <si>
    <t>Average of opportunity_score</t>
  </si>
  <si>
    <t>Average of threat_score</t>
  </si>
  <si>
    <t>Average of weakness_score</t>
  </si>
  <si>
    <t>s+o</t>
  </si>
  <si>
    <t>w+t</t>
  </si>
  <si>
    <t>Strength Score</t>
  </si>
  <si>
    <t>Opportunity Score</t>
  </si>
  <si>
    <t>Threat Score</t>
  </si>
  <si>
    <t>Weakness Score</t>
  </si>
  <si>
    <t>AVG of Revenue Millions</t>
  </si>
  <si>
    <t>AVG of Profitability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</si>
</sst>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quot;%&quot;"/>
    <numFmt numFmtId="166" formatCode="0\ &quot;%&quot;"/>
    <numFmt numFmtId="167" formatCode="0.0\ &quot;M&quot;"/>
    <numFmt numFmtId="168" formatCode="General\ \ \ \ "/>
  </numFmts>
  <fonts count="22" x14ac:knownFonts="1">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
      <sz val="8"/>
      <name val="Calibri"/>
      <family val="2"/>
      <charset val="186"/>
      <scheme val="minor"/>
    </font>
    <font>
      <b/>
      <sz val="16"/>
      <color theme="1"/>
      <name val="Calibri"/>
      <family val="2"/>
      <scheme val="minor"/>
    </font>
    <font>
      <sz val="16"/>
      <color theme="1"/>
      <name val="Calibri"/>
      <family val="2"/>
      <scheme val="minor"/>
    </font>
    <font>
      <b/>
      <sz val="11"/>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9" tint="-0.249977111117893"/>
        <bgColor theme="4"/>
      </patternFill>
    </fill>
    <fill>
      <patternFill patternType="solid">
        <fgColor rgb="FF8B5CF6"/>
        <bgColor indexed="64"/>
      </patternFill>
    </fill>
    <fill>
      <patternFill patternType="solid">
        <fgColor rgb="FFF7F7F7"/>
        <bgColor indexed="64"/>
      </patternFill>
    </fill>
    <fill>
      <patternFill patternType="solid">
        <fgColor rgb="FFBFA2DB"/>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style="thin">
        <color theme="9" tint="0.39997558519241921"/>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33" borderId="10" xfId="0" applyNumberFormat="1" applyFont="1" applyFill="1" applyBorder="1"/>
    <xf numFmtId="0" fontId="0" fillId="33" borderId="11" xfId="0" applyNumberFormat="1" applyFont="1" applyFill="1" applyBorder="1"/>
    <xf numFmtId="0" fontId="0" fillId="33" borderId="11" xfId="0" applyFont="1" applyFill="1" applyBorder="1"/>
    <xf numFmtId="0" fontId="0" fillId="33" borderId="12" xfId="0" applyNumberFormat="1" applyFont="1" applyFill="1" applyBorder="1"/>
    <xf numFmtId="0" fontId="0" fillId="0" borderId="10" xfId="0" applyNumberFormat="1" applyFont="1" applyBorder="1"/>
    <xf numFmtId="0" fontId="0" fillId="0" borderId="11" xfId="0" applyNumberFormat="1" applyFont="1" applyBorder="1"/>
    <xf numFmtId="0" fontId="0" fillId="0" borderId="11" xfId="0" applyFont="1" applyBorder="1"/>
    <xf numFmtId="0" fontId="0" fillId="0" borderId="12" xfId="0" applyNumberFormat="1" applyFont="1" applyBorder="1"/>
    <xf numFmtId="0" fontId="0" fillId="0" borderId="0" xfId="0" applyFill="1"/>
    <xf numFmtId="0" fontId="0" fillId="0" borderId="0" xfId="0" applyAlignment="1">
      <alignment horizontal="left"/>
    </xf>
    <xf numFmtId="0" fontId="0" fillId="35" borderId="0" xfId="0" applyFill="1"/>
    <xf numFmtId="165" fontId="0" fillId="0" borderId="0" xfId="0" applyNumberFormat="1"/>
    <xf numFmtId="0" fontId="0" fillId="36" borderId="0" xfId="0" applyFill="1"/>
    <xf numFmtId="0" fontId="19" fillId="36" borderId="13" xfId="0" applyFont="1" applyFill="1" applyBorder="1" applyAlignment="1">
      <alignment horizontal="left"/>
    </xf>
    <xf numFmtId="0" fontId="0" fillId="36" borderId="13" xfId="0" applyFill="1" applyBorder="1"/>
    <xf numFmtId="0" fontId="21" fillId="36" borderId="13" xfId="0" applyFont="1" applyFill="1" applyBorder="1" applyAlignment="1">
      <alignment horizontal="left"/>
    </xf>
    <xf numFmtId="0" fontId="21" fillId="36" borderId="13" xfId="0" applyFont="1" applyFill="1" applyBorder="1"/>
    <xf numFmtId="0" fontId="13" fillId="34" borderId="20" xfId="0" applyFont="1" applyFill="1" applyBorder="1"/>
    <xf numFmtId="0" fontId="13" fillId="34" borderId="15" xfId="0" applyFont="1" applyFill="1" applyBorder="1"/>
    <xf numFmtId="0" fontId="13" fillId="34" borderId="21" xfId="0" applyFont="1" applyFill="1" applyBorder="1"/>
    <xf numFmtId="0" fontId="0" fillId="33" borderId="22" xfId="0" applyNumberFormat="1" applyFont="1" applyFill="1" applyBorder="1"/>
    <xf numFmtId="0" fontId="0" fillId="33" borderId="18" xfId="0" applyFont="1" applyFill="1" applyBorder="1"/>
    <xf numFmtId="0" fontId="0" fillId="33" borderId="18" xfId="0" applyNumberFormat="1" applyFont="1" applyFill="1" applyBorder="1"/>
    <xf numFmtId="0" fontId="0" fillId="33" borderId="19" xfId="0" applyNumberFormat="1" applyFont="1" applyFill="1" applyBorder="1"/>
    <xf numFmtId="0" fontId="0" fillId="0" borderId="0" xfId="0" applyNumberFormat="1"/>
    <xf numFmtId="0" fontId="0" fillId="0" borderId="0" xfId="0" pivotButton="1"/>
    <xf numFmtId="164" fontId="0" fillId="0" borderId="0" xfId="0" applyNumberFormat="1"/>
    <xf numFmtId="166" fontId="0" fillId="0" borderId="0" xfId="0" applyNumberFormat="1"/>
    <xf numFmtId="167" fontId="0" fillId="0" borderId="0" xfId="0" applyNumberFormat="1"/>
    <xf numFmtId="1" fontId="0" fillId="0" borderId="0" xfId="0" applyNumberFormat="1"/>
    <xf numFmtId="168" fontId="0" fillId="0" borderId="0" xfId="0" applyNumberFormat="1" applyAlignment="1">
      <alignment wrapText="1"/>
    </xf>
    <xf numFmtId="2" fontId="0" fillId="0" borderId="0" xfId="0" applyNumberFormat="1"/>
    <xf numFmtId="0" fontId="19" fillId="37" borderId="16" xfId="0" applyFont="1" applyFill="1" applyBorder="1" applyAlignment="1">
      <alignment horizontal="left"/>
    </xf>
    <xf numFmtId="0" fontId="19" fillId="37" borderId="17" xfId="0" applyFont="1" applyFill="1" applyBorder="1" applyAlignment="1">
      <alignment horizontal="left"/>
    </xf>
    <xf numFmtId="0" fontId="0" fillId="36" borderId="14" xfId="0" applyFill="1" applyBorder="1" applyAlignment="1">
      <alignment horizontal="left" vertical="center" wrapText="1"/>
    </xf>
    <xf numFmtId="0" fontId="0" fillId="36" borderId="14" xfId="0" applyFill="1" applyBorder="1" applyAlignment="1">
      <alignment horizontal="left" vertical="center"/>
    </xf>
    <xf numFmtId="0" fontId="19" fillId="37" borderId="13" xfId="0" applyFont="1" applyFill="1" applyBorder="1" applyAlignment="1">
      <alignment horizontal="left"/>
    </xf>
    <xf numFmtId="0" fontId="20" fillId="37" borderId="13" xfId="0" applyFont="1" applyFill="1" applyBorder="1" applyAlignment="1">
      <alignment horizontal="left"/>
    </xf>
    <xf numFmtId="0" fontId="0" fillId="36" borderId="14" xfId="0" applyFill="1" applyBorder="1" applyAlignment="1">
      <alignment horizontal="center" vertical="center" wrapText="1"/>
    </xf>
    <xf numFmtId="0" fontId="0" fillId="36" borderId="14"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font>
        <color rgb="FF9C0006"/>
      </font>
    </dxf>
    <dxf>
      <font>
        <color rgb="FF9C0006"/>
      </font>
    </dxf>
    <dxf>
      <fill>
        <patternFill>
          <bgColor rgb="FFFF0000"/>
        </patternFill>
      </fill>
    </dxf>
    <dxf>
      <fill>
        <patternFill>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26"/>
        <color theme="0"/>
      </font>
      <fill>
        <patternFill>
          <bgColor rgb="FF8B5CF6"/>
        </patternFill>
      </fill>
      <border>
        <left style="thin">
          <color auto="1"/>
        </left>
        <right style="thin">
          <color auto="1"/>
        </right>
        <top style="thin">
          <color auto="1"/>
        </top>
        <bottom style="medium">
          <color auto="1"/>
        </bottom>
      </border>
    </dxf>
    <dxf>
      <fill>
        <patternFill>
          <bgColor theme="0" tint="-4.9989318521683403E-2"/>
        </patternFill>
      </fill>
    </dxf>
  </dxfs>
  <tableStyles count="1" defaultTableStyle="TableStyleMedium2" defaultPivotStyle="PivotStyleLight16">
    <tableStyle name="Slicer Style 1" pivot="0" table="0" count="6" xr9:uid="{2F7F8F70-59B0-4A32-B2FD-F48A8E430810}">
      <tableStyleElement type="wholeTable" dxfId="34"/>
      <tableStyleElement type="headerRow" dxfId="33"/>
    </tableStyle>
  </tableStyles>
  <colors>
    <mruColors>
      <color rgb="FF444444"/>
      <color rgb="FF8B5CF6"/>
      <color rgb="FFC4B5FD"/>
      <color rgb="FFF3E8FF"/>
      <color rgb="FFF7F7F7"/>
      <color rgb="FFDDD6FE"/>
      <color rgb="FFE9D5FF"/>
      <color rgb="FF6F2DBD"/>
      <color rgb="FFB794F4"/>
      <color rgb="FFC9B3E6"/>
    </mruColors>
  </colors>
  <extLst>
    <ext xmlns:x14="http://schemas.microsoft.com/office/spreadsheetml/2009/9/main" uri="{46F421CA-312F-682f-3DD2-61675219B42D}">
      <x14:dxfs count="4">
        <dxf>
          <font>
            <b val="0"/>
            <i val="0"/>
            <sz val="28"/>
            <color rgb="FF8B5CF6"/>
          </font>
        </dxf>
        <dxf>
          <font>
            <b val="0"/>
            <i val="0"/>
            <sz val="24"/>
            <color rgb="FF4A4A4A"/>
          </font>
        </dxf>
        <dxf>
          <font>
            <b val="0"/>
            <i val="0"/>
            <sz val="28"/>
            <color rgb="FF9D4EDD"/>
          </font>
        </dxf>
        <dxf>
          <font>
            <b val="0"/>
            <i val="0"/>
            <sz val="24"/>
            <color rgb="FF4A4A4A"/>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connections" Target="connections.xml"/><Relationship Id="rId21" Type="http://schemas.openxmlformats.org/officeDocument/2006/relationships/pivotCacheDefinition" Target="pivotCache/pivotCacheDefinition14.xml"/><Relationship Id="rId34" Type="http://schemas.openxmlformats.org/officeDocument/2006/relationships/pivotCacheDefinition" Target="pivotCache/pivotCacheDefinition27.xml"/><Relationship Id="rId42" Type="http://schemas.openxmlformats.org/officeDocument/2006/relationships/powerPivotData" Target="model/item.data"/><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pivotCacheDefinition" Target="pivotCache/pivotCacheDefinition22.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ivotCacheDefinition" Target="pivotCache/pivotCacheDefinition25.xml"/><Relationship Id="rId37" Type="http://schemas.microsoft.com/office/2007/relationships/slicerCache" Target="slicerCaches/slicerCache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2.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pivotCacheDefinition" Target="pivotCache/pivotCacheDefinition24.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Project.xlsx]Executive Dashboard!ED AVG BY INDUSTRY</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800" b="1" i="0" u="none" strike="noStrike" baseline="0"/>
              <a:t>Revenue</a:t>
            </a:r>
            <a:r>
              <a:rPr lang="az-Latn-AZ" sz="2800" b="1" i="0" u="none" strike="noStrike" baseline="0"/>
              <a:t> and Profitability</a:t>
            </a:r>
            <a:r>
              <a:rPr lang="en-US" sz="2800" b="1" i="0" u="none" strike="noStrike" baseline="0"/>
              <a:t> by Industry</a:t>
            </a:r>
            <a:endParaRPr lang="en-US" sz="2800"/>
          </a:p>
        </c:rich>
      </c:tx>
      <c:overlay val="0"/>
      <c:spPr>
        <a:noFill/>
        <a:ln w="3175">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9B3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 Dashboard'!$BF$79</c:f>
              <c:strCache>
                <c:ptCount val="1"/>
                <c:pt idx="0">
                  <c:v>AVG of Revenue Millions</c:v>
                </c:pt>
              </c:strCache>
            </c:strRef>
          </c:tx>
          <c:spPr>
            <a:solidFill>
              <a:srgbClr val="C9B3E6"/>
            </a:solidFill>
            <a:ln>
              <a:noFill/>
            </a:ln>
            <a:effectLst/>
          </c:spPr>
          <c:invertIfNegative val="0"/>
          <c:cat>
            <c:strRef>
              <c:f>'Executive Dashboard'!$BE$80:$BE$85</c:f>
              <c:strCache>
                <c:ptCount val="5"/>
                <c:pt idx="0">
                  <c:v>Retail</c:v>
                </c:pt>
                <c:pt idx="1">
                  <c:v>Finance</c:v>
                </c:pt>
                <c:pt idx="2">
                  <c:v>Healthcare</c:v>
                </c:pt>
                <c:pt idx="3">
                  <c:v>Manufacturing</c:v>
                </c:pt>
                <c:pt idx="4">
                  <c:v>Technology</c:v>
                </c:pt>
              </c:strCache>
            </c:strRef>
          </c:cat>
          <c:val>
            <c:numRef>
              <c:f>'Executive Dashboard'!$BF$80:$BF$85</c:f>
              <c:numCache>
                <c:formatCode>0.0</c:formatCode>
                <c:ptCount val="5"/>
                <c:pt idx="0">
                  <c:v>245.53100000000001</c:v>
                </c:pt>
                <c:pt idx="1">
                  <c:v>244.47596491228069</c:v>
                </c:pt>
                <c:pt idx="2">
                  <c:v>240.94178571428571</c:v>
                </c:pt>
                <c:pt idx="3">
                  <c:v>237.32209677419354</c:v>
                </c:pt>
                <c:pt idx="4">
                  <c:v>229.66246153846154</c:v>
                </c:pt>
              </c:numCache>
            </c:numRef>
          </c:val>
          <c:extLst>
            <c:ext xmlns:c16="http://schemas.microsoft.com/office/drawing/2014/chart" uri="{C3380CC4-5D6E-409C-BE32-E72D297353CC}">
              <c16:uniqueId val="{00000001-EFEB-426C-A288-A24ADBF2EAD3}"/>
            </c:ext>
          </c:extLst>
        </c:ser>
        <c:ser>
          <c:idx val="1"/>
          <c:order val="1"/>
          <c:tx>
            <c:strRef>
              <c:f>'Executive Dashboard'!$BG$79</c:f>
              <c:strCache>
                <c:ptCount val="1"/>
                <c:pt idx="0">
                  <c:v>AVG of Profitability Margin</c:v>
                </c:pt>
              </c:strCache>
            </c:strRef>
          </c:tx>
          <c:spPr>
            <a:solidFill>
              <a:srgbClr val="7030A0"/>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Dashboard'!$BE$80:$BE$85</c:f>
              <c:strCache>
                <c:ptCount val="5"/>
                <c:pt idx="0">
                  <c:v>Retail</c:v>
                </c:pt>
                <c:pt idx="1">
                  <c:v>Finance</c:v>
                </c:pt>
                <c:pt idx="2">
                  <c:v>Healthcare</c:v>
                </c:pt>
                <c:pt idx="3">
                  <c:v>Manufacturing</c:v>
                </c:pt>
                <c:pt idx="4">
                  <c:v>Technology</c:v>
                </c:pt>
              </c:strCache>
            </c:strRef>
          </c:cat>
          <c:val>
            <c:numRef>
              <c:f>'Executive Dashboard'!$BG$80:$BG$85</c:f>
              <c:numCache>
                <c:formatCode>0.0</c:formatCode>
                <c:ptCount val="5"/>
                <c:pt idx="0">
                  <c:v>10.262333333333334</c:v>
                </c:pt>
                <c:pt idx="1">
                  <c:v>9.4438596491228068</c:v>
                </c:pt>
                <c:pt idx="2">
                  <c:v>9.8258928571428577</c:v>
                </c:pt>
                <c:pt idx="3">
                  <c:v>9.7916129032258077</c:v>
                </c:pt>
                <c:pt idx="4">
                  <c:v>11.268923076923077</c:v>
                </c:pt>
              </c:numCache>
            </c:numRef>
          </c:val>
          <c:extLst>
            <c:ext xmlns:c16="http://schemas.microsoft.com/office/drawing/2014/chart" uri="{C3380CC4-5D6E-409C-BE32-E72D297353CC}">
              <c16:uniqueId val="{00000002-EFEB-426C-A288-A24ADBF2EAD3}"/>
            </c:ext>
          </c:extLst>
        </c:ser>
        <c:dLbls>
          <c:showLegendKey val="0"/>
          <c:showVal val="0"/>
          <c:showCatName val="0"/>
          <c:showSerName val="0"/>
          <c:showPercent val="0"/>
          <c:showBubbleSize val="0"/>
        </c:dLbls>
        <c:gapWidth val="142"/>
        <c:overlap val="-27"/>
        <c:axId val="274862432"/>
        <c:axId val="274863680"/>
      </c:barChart>
      <c:catAx>
        <c:axId val="274862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74863680"/>
        <c:crosses val="autoZero"/>
        <c:auto val="1"/>
        <c:lblAlgn val="ctr"/>
        <c:lblOffset val="100"/>
        <c:noMultiLvlLbl val="0"/>
      </c:catAx>
      <c:valAx>
        <c:axId val="274863680"/>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748624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7"/>
    </a:solidFill>
    <a:ln w="9525" cap="flat" cmpd="sng" algn="ctr">
      <a:no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Project.xlsx]Executive Dashboard!ED SWOT RATING</c:name>
    <c:fmtId val="0"/>
  </c:pivotSource>
  <c:chart>
    <c:title>
      <c:tx>
        <c:rich>
          <a:bodyPr rot="0" spcFirstLastPara="1" vertOverflow="ellipsis" vert="horz" wrap="square" anchor="ctr" anchorCtr="1"/>
          <a:lstStyle/>
          <a:p>
            <a:pPr>
              <a:defRPr sz="2800" b="1" i="0" u="none" strike="noStrike" kern="1200" cap="all" baseline="0">
                <a:solidFill>
                  <a:schemeClr val="tx1">
                    <a:lumMod val="65000"/>
                    <a:lumOff val="35000"/>
                  </a:schemeClr>
                </a:solidFill>
                <a:latin typeface="+mn-lt"/>
                <a:ea typeface="+mn-ea"/>
                <a:cs typeface="+mn-cs"/>
              </a:defRPr>
            </a:pPr>
            <a:r>
              <a:rPr lang="en-US" sz="2800"/>
              <a:t>SWOT Rating Distribution</a:t>
            </a:r>
          </a:p>
        </c:rich>
      </c:tx>
      <c:overlay val="0"/>
      <c:spPr>
        <a:noFill/>
        <a:ln>
          <a:noFill/>
        </a:ln>
        <a:effectLst/>
      </c:spPr>
    </c:title>
    <c:autoTitleDeleted val="0"/>
    <c:pivotFmts>
      <c:pivotFmt>
        <c:idx val="0"/>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rgbClr val="4A4A4A"/>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6F2DBD"/>
          </a:solidFill>
          <a:ln>
            <a:noFill/>
          </a:ln>
          <a:effectLst>
            <a:outerShdw blurRad="63500" sx="102000" sy="102000" algn="ctr" rotWithShape="0">
              <a:prstClr val="black">
                <a:alpha val="20000"/>
              </a:prstClr>
            </a:outerShdw>
          </a:effectLst>
        </c:spPr>
      </c:pivotFmt>
      <c:pivotFmt>
        <c:idx val="2"/>
        <c:spPr>
          <a:solidFill>
            <a:srgbClr val="8B5CF6"/>
          </a:solidFill>
          <a:ln>
            <a:noFill/>
          </a:ln>
          <a:effectLst>
            <a:outerShdw blurRad="63500" sx="102000" sy="102000" algn="ctr" rotWithShape="0">
              <a:prstClr val="black">
                <a:alpha val="20000"/>
              </a:prstClr>
            </a:outerShdw>
          </a:effectLst>
        </c:spPr>
      </c:pivotFmt>
      <c:pivotFmt>
        <c:idx val="3"/>
        <c:spPr>
          <a:solidFill>
            <a:srgbClr val="B794F4"/>
          </a:solidFill>
          <a:ln>
            <a:noFill/>
          </a:ln>
          <a:effectLst>
            <a:outerShdw blurRad="63500" sx="102000" sy="102000" algn="ctr" rotWithShape="0">
              <a:prstClr val="black">
                <a:alpha val="20000"/>
              </a:prstClr>
            </a:outerShdw>
          </a:effectLst>
        </c:spPr>
      </c:pivotFmt>
      <c:pivotFmt>
        <c:idx val="4"/>
        <c:spPr>
          <a:solidFill>
            <a:srgbClr val="E9D5FF"/>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18731139211046896"/>
          <c:y val="0.14259553033811953"/>
          <c:w val="0.622403449568804"/>
          <c:h val="0.72613735783027133"/>
        </c:manualLayout>
      </c:layout>
      <c:pieChart>
        <c:varyColors val="1"/>
        <c:ser>
          <c:idx val="0"/>
          <c:order val="0"/>
          <c:tx>
            <c:strRef>
              <c:f>'Executive Dashboard'!$BF$88</c:f>
              <c:strCache>
                <c:ptCount val="1"/>
                <c:pt idx="0">
                  <c:v>Total</c:v>
                </c:pt>
              </c:strCache>
            </c:strRef>
          </c:tx>
          <c:dPt>
            <c:idx val="0"/>
            <c:bubble3D val="0"/>
            <c:spPr>
              <a:solidFill>
                <a:srgbClr val="6F2DBD"/>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ADC-4D35-AE2B-7430FB949D77}"/>
              </c:ext>
            </c:extLst>
          </c:dPt>
          <c:dPt>
            <c:idx val="1"/>
            <c:bubble3D val="0"/>
            <c:spPr>
              <a:solidFill>
                <a:srgbClr val="8B5CF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ADC-4D35-AE2B-7430FB949D77}"/>
              </c:ext>
            </c:extLst>
          </c:dPt>
          <c:dPt>
            <c:idx val="2"/>
            <c:bubble3D val="0"/>
            <c:spPr>
              <a:solidFill>
                <a:srgbClr val="B794F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ADC-4D35-AE2B-7430FB949D77}"/>
              </c:ext>
            </c:extLst>
          </c:dPt>
          <c:dPt>
            <c:idx val="3"/>
            <c:bubble3D val="0"/>
            <c:spPr>
              <a:solidFill>
                <a:srgbClr val="E9D5FF"/>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ADC-4D35-AE2B-7430FB949D77}"/>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rgbClr val="4A4A4A"/>
                    </a:solidFill>
                    <a:latin typeface="+mn-lt"/>
                    <a:ea typeface="+mn-ea"/>
                    <a:cs typeface="+mn-cs"/>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'Executive Dashboard'!$BE$89:$BE$93</c:f>
              <c:strCache>
                <c:ptCount val="4"/>
                <c:pt idx="0">
                  <c:v>Strong</c:v>
                </c:pt>
                <c:pt idx="1">
                  <c:v>Positive</c:v>
                </c:pt>
                <c:pt idx="2">
                  <c:v>Neutral</c:v>
                </c:pt>
                <c:pt idx="3">
                  <c:v>Critical</c:v>
                </c:pt>
              </c:strCache>
            </c:strRef>
          </c:cat>
          <c:val>
            <c:numRef>
              <c:f>'Executive Dashboard'!$BF$89:$BF$93</c:f>
              <c:numCache>
                <c:formatCode>General</c:formatCode>
                <c:ptCount val="4"/>
                <c:pt idx="0">
                  <c:v>154</c:v>
                </c:pt>
                <c:pt idx="1">
                  <c:v>88</c:v>
                </c:pt>
                <c:pt idx="2">
                  <c:v>46</c:v>
                </c:pt>
                <c:pt idx="3">
                  <c:v>12</c:v>
                </c:pt>
              </c:numCache>
            </c:numRef>
          </c:val>
          <c:extLst>
            <c:ext xmlns:c16="http://schemas.microsoft.com/office/drawing/2014/chart" uri="{C3380CC4-5D6E-409C-BE32-E72D297353CC}">
              <c16:uniqueId val="{00000009-65D5-48F1-9444-3737A2CAE3A7}"/>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7">
        <a:alpha val="2000"/>
      </a:srgbClr>
    </a:solid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Project.xlsx]Executive Dashboard!ED POSITION MARKET</c:name>
    <c:fmtId val="1"/>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i="0" u="none" strike="noStrike" baseline="0"/>
              <a:t>Market Position Distribution</a:t>
            </a:r>
            <a:endParaRPr lang="en-US" sz="2800" b="1"/>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B5CF6"/>
          </a:solidFill>
          <a:ln w="0">
            <a:solidFill>
              <a:srgbClr val="8B5CF6">
                <a:alpha val="9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794F4"/>
          </a:solidFill>
          <a:ln w="0">
            <a:solidFill>
              <a:srgbClr val="8B5CF6">
                <a:alpha val="99000"/>
              </a:srgbClr>
            </a:solidFill>
          </a:ln>
          <a:effectLst/>
        </c:spPr>
      </c:pivotFmt>
      <c:pivotFmt>
        <c:idx val="2"/>
        <c:spPr>
          <a:solidFill>
            <a:srgbClr val="6F2DBD"/>
          </a:solidFill>
          <a:ln w="0">
            <a:solidFill>
              <a:srgbClr val="8B5CF6">
                <a:alpha val="99000"/>
              </a:srgbClr>
            </a:solidFill>
          </a:ln>
          <a:effectLst/>
        </c:spPr>
      </c:pivotFmt>
      <c:pivotFmt>
        <c:idx val="3"/>
        <c:spPr>
          <a:solidFill>
            <a:srgbClr val="8B5CF6"/>
          </a:solidFill>
          <a:ln w="0">
            <a:solidFill>
              <a:srgbClr val="8B5CF6">
                <a:alpha val="99000"/>
              </a:srgbClr>
            </a:solidFill>
          </a:ln>
          <a:effectLst/>
        </c:spPr>
      </c:pivotFmt>
      <c:pivotFmt>
        <c:idx val="4"/>
        <c:spPr>
          <a:solidFill>
            <a:srgbClr val="D8B4FE"/>
          </a:solidFill>
          <a:ln w="0">
            <a:solidFill>
              <a:srgbClr val="8B5CF6">
                <a:alpha val="99000"/>
              </a:srgbClr>
            </a:solidFill>
          </a:ln>
          <a:effectLst/>
        </c:spPr>
      </c:pivotFmt>
    </c:pivotFmts>
    <c:plotArea>
      <c:layout/>
      <c:barChart>
        <c:barDir val="bar"/>
        <c:grouping val="clustered"/>
        <c:varyColors val="0"/>
        <c:ser>
          <c:idx val="0"/>
          <c:order val="0"/>
          <c:tx>
            <c:strRef>
              <c:f>'Executive Dashboard'!$BF$98</c:f>
              <c:strCache>
                <c:ptCount val="1"/>
                <c:pt idx="0">
                  <c:v>Total</c:v>
                </c:pt>
              </c:strCache>
            </c:strRef>
          </c:tx>
          <c:spPr>
            <a:solidFill>
              <a:srgbClr val="8B5CF6"/>
            </a:solidFill>
            <a:ln w="0">
              <a:solidFill>
                <a:srgbClr val="8B5CF6">
                  <a:alpha val="99000"/>
                </a:srgbClr>
              </a:solidFill>
            </a:ln>
            <a:effectLst/>
          </c:spPr>
          <c:invertIfNegative val="0"/>
          <c:dPt>
            <c:idx val="0"/>
            <c:invertIfNegative val="0"/>
            <c:bubble3D val="0"/>
            <c:spPr>
              <a:solidFill>
                <a:srgbClr val="D8B4FE"/>
              </a:solidFill>
              <a:ln w="0">
                <a:solidFill>
                  <a:srgbClr val="8B5CF6">
                    <a:alpha val="99000"/>
                  </a:srgbClr>
                </a:solidFill>
              </a:ln>
              <a:effectLst/>
            </c:spPr>
            <c:extLst>
              <c:ext xmlns:c16="http://schemas.microsoft.com/office/drawing/2014/chart" uri="{C3380CC4-5D6E-409C-BE32-E72D297353CC}">
                <c16:uniqueId val="{00000001-D6FB-4490-AAF8-A85EBEFC159B}"/>
              </c:ext>
            </c:extLst>
          </c:dPt>
          <c:dPt>
            <c:idx val="1"/>
            <c:invertIfNegative val="0"/>
            <c:bubble3D val="0"/>
            <c:spPr>
              <a:solidFill>
                <a:srgbClr val="B794F4"/>
              </a:solidFill>
              <a:ln w="0">
                <a:solidFill>
                  <a:srgbClr val="8B5CF6">
                    <a:alpha val="99000"/>
                  </a:srgbClr>
                </a:solidFill>
              </a:ln>
              <a:effectLst/>
            </c:spPr>
            <c:extLst>
              <c:ext xmlns:c16="http://schemas.microsoft.com/office/drawing/2014/chart" uri="{C3380CC4-5D6E-409C-BE32-E72D297353CC}">
                <c16:uniqueId val="{00000003-D6FB-4490-AAF8-A85EBEFC159B}"/>
              </c:ext>
            </c:extLst>
          </c:dPt>
          <c:dPt>
            <c:idx val="2"/>
            <c:invertIfNegative val="0"/>
            <c:bubble3D val="0"/>
            <c:spPr>
              <a:solidFill>
                <a:srgbClr val="8B5CF6"/>
              </a:solidFill>
              <a:ln w="0">
                <a:solidFill>
                  <a:srgbClr val="8B5CF6">
                    <a:alpha val="99000"/>
                  </a:srgbClr>
                </a:solidFill>
              </a:ln>
              <a:effectLst/>
            </c:spPr>
            <c:extLst>
              <c:ext xmlns:c16="http://schemas.microsoft.com/office/drawing/2014/chart" uri="{C3380CC4-5D6E-409C-BE32-E72D297353CC}">
                <c16:uniqueId val="{00000005-D6FB-4490-AAF8-A85EBEFC159B}"/>
              </c:ext>
            </c:extLst>
          </c:dPt>
          <c:dPt>
            <c:idx val="3"/>
            <c:invertIfNegative val="0"/>
            <c:bubble3D val="0"/>
            <c:spPr>
              <a:solidFill>
                <a:srgbClr val="6F2DBD"/>
              </a:solidFill>
              <a:ln w="0">
                <a:solidFill>
                  <a:srgbClr val="8B5CF6">
                    <a:alpha val="99000"/>
                  </a:srgbClr>
                </a:solidFill>
              </a:ln>
              <a:effectLst/>
            </c:spPr>
            <c:extLst>
              <c:ext xmlns:c16="http://schemas.microsoft.com/office/drawing/2014/chart" uri="{C3380CC4-5D6E-409C-BE32-E72D297353CC}">
                <c16:uniqueId val="{00000007-D6FB-4490-AAF8-A85EBEFC159B}"/>
              </c:ext>
            </c:extLst>
          </c:dPt>
          <c:cat>
            <c:strRef>
              <c:f>'Executive Dashboard'!$BE$99:$BE$103</c:f>
              <c:strCache>
                <c:ptCount val="4"/>
                <c:pt idx="0">
                  <c:v>Niche</c:v>
                </c:pt>
                <c:pt idx="1">
                  <c:v>Leader</c:v>
                </c:pt>
                <c:pt idx="2">
                  <c:v>Follower</c:v>
                </c:pt>
                <c:pt idx="3">
                  <c:v>Challenger</c:v>
                </c:pt>
              </c:strCache>
            </c:strRef>
          </c:cat>
          <c:val>
            <c:numRef>
              <c:f>'Executive Dashboard'!$BF$99:$BF$103</c:f>
              <c:numCache>
                <c:formatCode>General</c:formatCode>
                <c:ptCount val="4"/>
                <c:pt idx="0">
                  <c:v>83</c:v>
                </c:pt>
                <c:pt idx="1">
                  <c:v>75</c:v>
                </c:pt>
                <c:pt idx="2">
                  <c:v>71</c:v>
                </c:pt>
                <c:pt idx="3">
                  <c:v>71</c:v>
                </c:pt>
              </c:numCache>
            </c:numRef>
          </c:val>
          <c:extLst>
            <c:ext xmlns:c16="http://schemas.microsoft.com/office/drawing/2014/chart" uri="{C3380CC4-5D6E-409C-BE32-E72D297353CC}">
              <c16:uniqueId val="{00000009-D646-4172-9ABF-9C2ECB47314D}"/>
            </c:ext>
          </c:extLst>
        </c:ser>
        <c:dLbls>
          <c:showLegendKey val="0"/>
          <c:showVal val="0"/>
          <c:showCatName val="0"/>
          <c:showSerName val="0"/>
          <c:showPercent val="0"/>
          <c:showBubbleSize val="0"/>
        </c:dLbls>
        <c:gapWidth val="69"/>
        <c:overlap val="-71"/>
        <c:axId val="276420464"/>
        <c:axId val="276420880"/>
      </c:barChart>
      <c:catAx>
        <c:axId val="27642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76420880"/>
        <c:crosses val="autoZero"/>
        <c:auto val="1"/>
        <c:lblAlgn val="ctr"/>
        <c:lblOffset val="100"/>
        <c:noMultiLvlLbl val="0"/>
      </c:catAx>
      <c:valAx>
        <c:axId val="276420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764204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7"/>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r>
              <a:rPr lang="az-Latn-AZ" sz="2400"/>
              <a:t>average OF profitability</a:t>
            </a:r>
            <a:endParaRPr lang="en-US" sz="2400"/>
          </a:p>
        </c:rich>
      </c:tx>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8B5CF6"/>
              </a:gs>
              <a:gs pos="50000">
                <a:srgbClr val="8B5CF6"/>
              </a:gs>
              <a:gs pos="100000">
                <a:srgbClr val="E9D5FF"/>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8B5CF6"/>
              </a:gs>
              <a:gs pos="50000">
                <a:srgbClr val="8B5CF6"/>
              </a:gs>
              <a:gs pos="100000">
                <a:srgbClr val="E9D5FF"/>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8B5CF6"/>
              </a:gs>
              <a:gs pos="50000">
                <a:srgbClr val="8B5CF6"/>
              </a:gs>
              <a:gs pos="100000">
                <a:srgbClr val="E9D5FF"/>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0565380147153"/>
          <c:y val="0.15473229472925326"/>
          <c:w val="0.79685267953186179"/>
          <c:h val="0.80140808579185108"/>
        </c:manualLayout>
      </c:layout>
      <c:barChart>
        <c:barDir val="bar"/>
        <c:grouping val="clustered"/>
        <c:varyColors val="0"/>
        <c:dLbls>
          <c:dLblPos val="outEnd"/>
          <c:showLegendKey val="0"/>
          <c:showVal val="1"/>
          <c:showCatName val="0"/>
          <c:showSerName val="0"/>
          <c:showPercent val="0"/>
          <c:showBubbleSize val="0"/>
        </c:dLbls>
        <c:gapWidth val="40"/>
        <c:overlap val="100"/>
        <c:axId val="47388128"/>
        <c:axId val="47388960"/>
      </c:barChart>
      <c:catAx>
        <c:axId val="4738812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7388960"/>
        <c:crosses val="autoZero"/>
        <c:auto val="1"/>
        <c:lblAlgn val="ctr"/>
        <c:lblOffset val="100"/>
        <c:noMultiLvlLbl val="0"/>
      </c:catAx>
      <c:valAx>
        <c:axId val="47388960"/>
        <c:scaling>
          <c:orientation val="minMax"/>
        </c:scaling>
        <c:delete val="1"/>
        <c:axPos val="b"/>
        <c:numFmt formatCode="General" sourceLinked="1"/>
        <c:majorTickMark val="none"/>
        <c:minorTickMark val="none"/>
        <c:tickLblPos val="nextTo"/>
        <c:crossAx val="4738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574408003161169E-2"/>
          <c:y val="0.18905391100876542"/>
          <c:w val="0.82308339517535833"/>
          <c:h val="0.66890212573664143"/>
        </c:manualLayout>
      </c:layout>
      <c:scatterChart>
        <c:scatterStyle val="lineMarker"/>
        <c:varyColors val="0"/>
        <c:ser>
          <c:idx val="0"/>
          <c:order val="0"/>
          <c:spPr>
            <a:ln w="19050" cap="rnd">
              <a:noFill/>
              <a:round/>
            </a:ln>
            <a:effectLst/>
          </c:spPr>
          <c:marker>
            <c:symbol val="circle"/>
            <c:size val="4"/>
            <c:spPr>
              <a:solidFill>
                <a:srgbClr val="8B5CF6"/>
              </a:solidFill>
              <a:ln w="34925">
                <a:solidFill>
                  <a:srgbClr val="8B5CF6"/>
                </a:solidFill>
              </a:ln>
              <a:effectLst/>
            </c:spPr>
          </c:marker>
          <c:dLbls>
            <c:dLbl>
              <c:idx val="0"/>
              <c:tx>
                <c:rich>
                  <a:bodyPr/>
                  <a:lstStyle/>
                  <a:p>
                    <a:fld id="{B3C8A7D4-FB23-470E-AC8D-367B44EB6F8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A3E-468E-8C61-28D9D212C1F5}"/>
                </c:ext>
              </c:extLst>
            </c:dLbl>
            <c:dLbl>
              <c:idx val="1"/>
              <c:tx>
                <c:rich>
                  <a:bodyPr rot="0" spcFirstLastPara="1" vertOverflow="ellipsis" vert="horz" wrap="square" lIns="38100" tIns="19050" rIns="38100" bIns="19050" anchor="ctr" anchorCtr="0">
                    <a:spAutoFit/>
                  </a:bodyPr>
                  <a:lstStyle/>
                  <a:p>
                    <a:pPr algn="l">
                      <a:defRPr sz="1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D86C61F3-0081-4C6A-BE9F-449D1B3F58F9}" type="CELLRANGE">
                      <a:rPr lang="en-US"/>
                      <a:pPr algn="l">
                        <a:defRPr sz="1800">
                          <a:latin typeface="Segoe UI" panose="020B0502040204020203" pitchFamily="34" charset="0"/>
                          <a:cs typeface="Segoe UI" panose="020B0502040204020203" pitchFamily="34" charset="0"/>
                        </a:defRPr>
                      </a:pPr>
                      <a:t>[CELLRANGE]</a:t>
                    </a:fld>
                    <a:endParaRPr lang="en-GB"/>
                  </a:p>
                </c:rich>
              </c:tx>
              <c:spPr>
                <a:noFill/>
                <a:ln>
                  <a:noFill/>
                </a:ln>
                <a:effectLst/>
              </c:spPr>
              <c:txPr>
                <a:bodyPr rot="0" spcFirstLastPara="1" vertOverflow="ellipsis" vert="horz" wrap="square" lIns="38100" tIns="19050" rIns="38100" bIns="19050" anchor="ctr" anchorCtr="0">
                  <a:spAutoFit/>
                </a:bodyPr>
                <a:lstStyle/>
                <a:p>
                  <a:pPr algn="l">
                    <a:defRPr sz="1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696369636963689"/>
                      <c:h val="0.16159420289855073"/>
                    </c:manualLayout>
                  </c15:layout>
                  <c15:dlblFieldTable/>
                  <c15:showDataLabelsRange val="1"/>
                </c:ext>
                <c:ext xmlns:c16="http://schemas.microsoft.com/office/drawing/2014/chart" uri="{C3380CC4-5D6E-409C-BE32-E72D297353CC}">
                  <c16:uniqueId val="{00000001-6A3E-468E-8C61-28D9D212C1F5}"/>
                </c:ext>
              </c:extLst>
            </c:dLbl>
            <c:dLbl>
              <c:idx val="2"/>
              <c:tx>
                <c:rich>
                  <a:bodyPr rot="0" spcFirstLastPara="1" vertOverflow="ellipsis" vert="horz" wrap="square" lIns="38100" tIns="19050" rIns="38100" bIns="19050" anchor="ctr" anchorCtr="0">
                    <a:noAutofit/>
                  </a:bodyPr>
                  <a:lstStyle/>
                  <a:p>
                    <a:pPr algn="r">
                      <a:defRPr sz="1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9EA4B5D8-E7D7-4A1E-BBA9-22F5C544478B}" type="CELLRANGE">
                      <a:rPr lang="en-US"/>
                      <a:pPr algn="r">
                        <a:defRPr sz="1800">
                          <a:latin typeface="Segoe UI" panose="020B0502040204020203" pitchFamily="34" charset="0"/>
                          <a:cs typeface="Segoe UI" panose="020B0502040204020203" pitchFamily="34" charset="0"/>
                        </a:defRPr>
                      </a:pPr>
                      <a:t>[CELLRANGE]</a:t>
                    </a:fld>
                    <a:endParaRPr lang="en-GB"/>
                  </a:p>
                </c:rich>
              </c:tx>
              <c:spPr>
                <a:noFill/>
                <a:ln>
                  <a:noFill/>
                </a:ln>
                <a:effectLst/>
              </c:spPr>
              <c:txPr>
                <a:bodyPr rot="0" spcFirstLastPara="1" vertOverflow="ellipsis" vert="horz" wrap="square" lIns="38100" tIns="19050" rIns="38100" bIns="19050" anchor="ctr" anchorCtr="0">
                  <a:noAutofit/>
                </a:bodyPr>
                <a:lstStyle/>
                <a:p>
                  <a:pPr algn="r">
                    <a:defRPr sz="1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l"/>
              <c:showLegendKey val="0"/>
              <c:showVal val="0"/>
              <c:showCatName val="0"/>
              <c:showSerName val="0"/>
              <c:showPercent val="0"/>
              <c:showBubbleSize val="0"/>
              <c:extLst>
                <c:ext xmlns:c15="http://schemas.microsoft.com/office/drawing/2012/chart" uri="{CE6537A1-D6FC-4f65-9D91-7224C49458BB}">
                  <c15:layout>
                    <c:manualLayout>
                      <c:w val="0.34884488448844886"/>
                      <c:h val="0.14121376811594202"/>
                    </c:manualLayout>
                  </c15:layout>
                  <c15:dlblFieldTable/>
                  <c15:showDataLabelsRange val="1"/>
                </c:ext>
                <c:ext xmlns:c16="http://schemas.microsoft.com/office/drawing/2014/chart" uri="{C3380CC4-5D6E-409C-BE32-E72D297353CC}">
                  <c16:uniqueId val="{00000002-6A3E-468E-8C61-28D9D212C1F5}"/>
                </c:ext>
              </c:extLst>
            </c:dLbl>
            <c:dLbl>
              <c:idx val="3"/>
              <c:tx>
                <c:rich>
                  <a:bodyPr/>
                  <a:lstStyle/>
                  <a:p>
                    <a:fld id="{91F1D107-F388-4BE4-A9C9-5D93C06C0A9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3E-468E-8C61-28D9D212C1F5}"/>
                </c:ext>
              </c:extLst>
            </c:dLbl>
            <c:dLbl>
              <c:idx val="4"/>
              <c:tx>
                <c:rich>
                  <a:bodyPr rot="0" spcFirstLastPara="1" vertOverflow="ellipsis" vert="horz" wrap="square" lIns="38100" tIns="19050" rIns="38100" bIns="19050" anchor="ctr" anchorCtr="0">
                    <a:noAutofit/>
                  </a:bodyPr>
                  <a:lstStyle/>
                  <a:p>
                    <a:pPr algn="l">
                      <a:defRPr sz="1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C2C9C70A-B35E-4034-95EA-1B0BA05E0DBD}" type="CELLRANGE">
                      <a:rPr lang="en-US"/>
                      <a:pPr algn="l">
                        <a:defRPr sz="1800">
                          <a:latin typeface="Segoe UI" panose="020B0502040204020203" pitchFamily="34" charset="0"/>
                          <a:cs typeface="Segoe UI" panose="020B0502040204020203" pitchFamily="34" charset="0"/>
                        </a:defRPr>
                      </a:pPr>
                      <a:t>[CELLRANGE]</a:t>
                    </a:fld>
                    <a:endParaRPr lang="en-GB"/>
                  </a:p>
                </c:rich>
              </c:tx>
              <c:spPr>
                <a:noFill/>
                <a:ln>
                  <a:noFill/>
                </a:ln>
                <a:effectLst/>
              </c:spPr>
              <c:txPr>
                <a:bodyPr rot="0" spcFirstLastPara="1" vertOverflow="ellipsis" vert="horz" wrap="square" lIns="38100" tIns="19050" rIns="38100" bIns="19050" anchor="ctr" anchorCtr="0">
                  <a:noAutofit/>
                </a:bodyPr>
                <a:lstStyle/>
                <a:p>
                  <a:pPr algn="l">
                    <a:defRPr sz="1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7607260726072608"/>
                      <c:h val="0.11856884057971015"/>
                    </c:manualLayout>
                  </c15:layout>
                  <c15:dlblFieldTable/>
                  <c15:showDataLabelsRange val="1"/>
                </c:ext>
                <c:ext xmlns:c16="http://schemas.microsoft.com/office/drawing/2014/chart" uri="{C3380CC4-5D6E-409C-BE32-E72D297353CC}">
                  <c16:uniqueId val="{00000004-6A3E-468E-8C61-28D9D212C1F5}"/>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'[1]Industry Comparison'!$BF$94:$BF$98</c:f>
              <c:numCache>
                <c:formatCode>General</c:formatCode>
                <c:ptCount val="5"/>
                <c:pt idx="0">
                  <c:v>244.47596491228069</c:v>
                </c:pt>
                <c:pt idx="1">
                  <c:v>240.94178571428571</c:v>
                </c:pt>
                <c:pt idx="2">
                  <c:v>237.32209677419354</c:v>
                </c:pt>
                <c:pt idx="3">
                  <c:v>245.53100000000001</c:v>
                </c:pt>
                <c:pt idx="4">
                  <c:v>229.66246153846154</c:v>
                </c:pt>
              </c:numCache>
            </c:numRef>
          </c:xVal>
          <c:yVal>
            <c:numRef>
              <c:f>'[1]Industry Comparison'!$BG$94:$BG$98</c:f>
              <c:numCache>
                <c:formatCode>General</c:formatCode>
                <c:ptCount val="5"/>
                <c:pt idx="0">
                  <c:v>9.4438596491228068</c:v>
                </c:pt>
                <c:pt idx="1">
                  <c:v>9.8258928571428577</c:v>
                </c:pt>
                <c:pt idx="2">
                  <c:v>9.7916129032258077</c:v>
                </c:pt>
                <c:pt idx="3">
                  <c:v>10.262333333333334</c:v>
                </c:pt>
                <c:pt idx="4">
                  <c:v>11.268923076923077</c:v>
                </c:pt>
              </c:numCache>
            </c:numRef>
          </c:yVal>
          <c:smooth val="0"/>
          <c:extLst>
            <c:ext xmlns:c15="http://schemas.microsoft.com/office/drawing/2012/chart" uri="{02D57815-91ED-43cb-92C2-25804820EDAC}">
              <c15:datalabelsRange>
                <c15:f>'[1]Industry Comparison'!$BD$94:$BD$98</c15:f>
                <c15:dlblRangeCache>
                  <c:ptCount val="5"/>
                  <c:pt idx="0">
                    <c:v>Finance</c:v>
                  </c:pt>
                  <c:pt idx="1">
                    <c:v>Healthcare</c:v>
                  </c:pt>
                  <c:pt idx="2">
                    <c:v>Manufacturing</c:v>
                  </c:pt>
                  <c:pt idx="3">
                    <c:v>Retail</c:v>
                  </c:pt>
                  <c:pt idx="4">
                    <c:v>Technology</c:v>
                  </c:pt>
                </c15:dlblRangeCache>
              </c15:datalabelsRange>
            </c:ext>
            <c:ext xmlns:c16="http://schemas.microsoft.com/office/drawing/2014/chart" uri="{C3380CC4-5D6E-409C-BE32-E72D297353CC}">
              <c16:uniqueId val="{00000005-6A3E-468E-8C61-28D9D212C1F5}"/>
            </c:ext>
          </c:extLst>
        </c:ser>
        <c:dLbls>
          <c:showLegendKey val="0"/>
          <c:showVal val="1"/>
          <c:showCatName val="0"/>
          <c:showSerName val="0"/>
          <c:showPercent val="0"/>
          <c:showBubbleSize val="0"/>
        </c:dLbls>
        <c:axId val="1848211391"/>
        <c:axId val="1848222623"/>
      </c:scatterChart>
      <c:valAx>
        <c:axId val="1848211391"/>
        <c:scaling>
          <c:orientation val="minMax"/>
        </c:scaling>
        <c:delete val="1"/>
        <c:axPos val="b"/>
        <c:majorGridlines>
          <c:spPr>
            <a:ln w="9525" cap="flat" cmpd="sng" algn="ctr">
              <a:noFill/>
              <a:round/>
            </a:ln>
            <a:effectLst/>
          </c:spPr>
        </c:majorGridlines>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400" b="1"/>
                  <a:t>Average Revenue</a:t>
                </a:r>
              </a:p>
            </c:rich>
          </c:tx>
          <c:layout>
            <c:manualLayout>
              <c:xMode val="edge"/>
              <c:yMode val="edge"/>
              <c:x val="0.44955184610491622"/>
              <c:y val="0.9444340241667903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848222623"/>
        <c:crosses val="autoZero"/>
        <c:crossBetween val="midCat"/>
      </c:valAx>
      <c:valAx>
        <c:axId val="1848222623"/>
        <c:scaling>
          <c:orientation val="minMax"/>
        </c:scaling>
        <c:delete val="1"/>
        <c:axPos val="l"/>
        <c:majorGridlines>
          <c:spPr>
            <a:ln w="9525" cap="flat" cmpd="sng" algn="ctr">
              <a:noFill/>
              <a:roun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1" i="0" u="none" strike="noStrike" baseline="0"/>
                  <a:t>Average Profit Margin</a:t>
                </a:r>
                <a:endParaRPr lang="en-US" sz="2000" b="1"/>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848211391"/>
        <c:crosses val="autoZero"/>
        <c:crossBetween val="midCat"/>
      </c:valAx>
      <c:spPr>
        <a:noFill/>
        <a:ln>
          <a:noFill/>
        </a:ln>
        <a:effectLst/>
      </c:spPr>
    </c:plotArea>
    <c:plotVisOnly val="1"/>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r>
              <a:rPr lang="az-Latn-AZ" sz="2400"/>
              <a:t>average OF profitability</a:t>
            </a:r>
            <a:endParaRPr lang="en-US" sz="2400"/>
          </a:p>
        </c:rich>
      </c:tx>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8B5CF6"/>
              </a:gs>
              <a:gs pos="50000">
                <a:srgbClr val="8B5CF6"/>
              </a:gs>
              <a:gs pos="100000">
                <a:srgbClr val="E9D5FF"/>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8B5CF6"/>
              </a:gs>
              <a:gs pos="50000">
                <a:srgbClr val="8B5CF6"/>
              </a:gs>
              <a:gs pos="100000">
                <a:srgbClr val="E9D5FF"/>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8B5CF6"/>
              </a:gs>
              <a:gs pos="50000">
                <a:srgbClr val="8B5CF6"/>
              </a:gs>
              <a:gs pos="100000">
                <a:srgbClr val="E9D5FF"/>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0565380147153"/>
          <c:y val="0.15473229472925326"/>
          <c:w val="0.79685267953186179"/>
          <c:h val="0.80140808579185108"/>
        </c:manualLayout>
      </c:layout>
      <c:barChart>
        <c:barDir val="bar"/>
        <c:grouping val="clustered"/>
        <c:varyColors val="0"/>
        <c:ser>
          <c:idx val="0"/>
          <c:order val="0"/>
          <c:tx>
            <c:v>Total</c:v>
          </c:tx>
          <c:spPr>
            <a:gradFill flip="none" rotWithShape="1">
              <a:gsLst>
                <a:gs pos="0">
                  <a:srgbClr val="8B5CF6"/>
                </a:gs>
                <a:gs pos="50000">
                  <a:srgbClr val="8B5CF6"/>
                </a:gs>
                <a:gs pos="100000">
                  <a:srgbClr val="E9D5FF"/>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Finance</c:v>
              </c:pt>
              <c:pt idx="1">
                <c:v>Healthcare</c:v>
              </c:pt>
              <c:pt idx="2">
                <c:v>Manufacturing</c:v>
              </c:pt>
              <c:pt idx="3">
                <c:v>Retail</c:v>
              </c:pt>
              <c:pt idx="4">
                <c:v>Technology</c:v>
              </c:pt>
            </c:strLit>
          </c:cat>
          <c:val>
            <c:numLit>
              <c:formatCode>General</c:formatCode>
              <c:ptCount val="5"/>
              <c:pt idx="0">
                <c:v>9.4438596491228068</c:v>
              </c:pt>
              <c:pt idx="1">
                <c:v>9.8258928571428577</c:v>
              </c:pt>
              <c:pt idx="2">
                <c:v>9.7916129032258077</c:v>
              </c:pt>
              <c:pt idx="3">
                <c:v>10.262333333333334</c:v>
              </c:pt>
              <c:pt idx="4">
                <c:v>11.268923076923077</c:v>
              </c:pt>
            </c:numLit>
          </c:val>
          <c:extLst>
            <c:ext xmlns:c16="http://schemas.microsoft.com/office/drawing/2014/chart" uri="{C3380CC4-5D6E-409C-BE32-E72D297353CC}">
              <c16:uniqueId val="{00000000-D7BB-42DE-97F6-24DD05AC0B2B}"/>
            </c:ext>
          </c:extLst>
        </c:ser>
        <c:dLbls>
          <c:dLblPos val="outEnd"/>
          <c:showLegendKey val="0"/>
          <c:showVal val="1"/>
          <c:showCatName val="0"/>
          <c:showSerName val="0"/>
          <c:showPercent val="0"/>
          <c:showBubbleSize val="0"/>
        </c:dLbls>
        <c:gapWidth val="40"/>
        <c:overlap val="100"/>
        <c:axId val="47388128"/>
        <c:axId val="47388960"/>
      </c:barChart>
      <c:catAx>
        <c:axId val="4738812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7388960"/>
        <c:crosses val="autoZero"/>
        <c:auto val="1"/>
        <c:lblAlgn val="ctr"/>
        <c:lblOffset val="100"/>
        <c:noMultiLvlLbl val="0"/>
      </c:catAx>
      <c:valAx>
        <c:axId val="47388960"/>
        <c:scaling>
          <c:orientation val="minMax"/>
        </c:scaling>
        <c:delete val="1"/>
        <c:axPos val="b"/>
        <c:numFmt formatCode="General" sourceLinked="1"/>
        <c:majorTickMark val="none"/>
        <c:minorTickMark val="none"/>
        <c:tickLblPos val="nextTo"/>
        <c:crossAx val="4738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az-Latn-AZ" sz="2400" b="1"/>
              <a:t>AVERAGE OF REVENUE</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69784227080074"/>
          <c:y val="0.19171030654660989"/>
          <c:w val="0.80212613065449245"/>
          <c:h val="0.7705565811450602"/>
        </c:manualLayout>
      </c:layout>
      <c:barChart>
        <c:barDir val="bar"/>
        <c:grouping val="clustered"/>
        <c:varyColors val="0"/>
        <c:ser>
          <c:idx val="0"/>
          <c:order val="0"/>
          <c:tx>
            <c:v>Total</c:v>
          </c:tx>
          <c:spPr>
            <a:gradFill>
              <a:gsLst>
                <a:gs pos="0">
                  <a:srgbClr val="8B5CF6"/>
                </a:gs>
                <a:gs pos="50000">
                  <a:srgbClr val="8B5CF6"/>
                </a:gs>
                <a:gs pos="100000">
                  <a:srgbClr val="E9D5FF"/>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Technology</c:v>
              </c:pt>
              <c:pt idx="1">
                <c:v>Manufacturing</c:v>
              </c:pt>
              <c:pt idx="2">
                <c:v>Healthcare</c:v>
              </c:pt>
              <c:pt idx="3">
                <c:v>Finance</c:v>
              </c:pt>
              <c:pt idx="4">
                <c:v>Retail</c:v>
              </c:pt>
            </c:strLit>
          </c:cat>
          <c:val>
            <c:numLit>
              <c:formatCode>General</c:formatCode>
              <c:ptCount val="5"/>
              <c:pt idx="0">
                <c:v>229.66246153846154</c:v>
              </c:pt>
              <c:pt idx="1">
                <c:v>237.32209677419354</c:v>
              </c:pt>
              <c:pt idx="2">
                <c:v>240.94178571428571</c:v>
              </c:pt>
              <c:pt idx="3">
                <c:v>244.47596491228069</c:v>
              </c:pt>
              <c:pt idx="4">
                <c:v>245.53100000000001</c:v>
              </c:pt>
            </c:numLit>
          </c:val>
          <c:extLst>
            <c:ext xmlns:c16="http://schemas.microsoft.com/office/drawing/2014/chart" uri="{C3380CC4-5D6E-409C-BE32-E72D297353CC}">
              <c16:uniqueId val="{00000000-74AC-4E09-B61F-3DE6CD4F1017}"/>
            </c:ext>
          </c:extLst>
        </c:ser>
        <c:dLbls>
          <c:dLblPos val="outEnd"/>
          <c:showLegendKey val="0"/>
          <c:showVal val="1"/>
          <c:showCatName val="0"/>
          <c:showSerName val="0"/>
          <c:showPercent val="0"/>
          <c:showBubbleSize val="0"/>
        </c:dLbls>
        <c:gapWidth val="40"/>
        <c:axId val="653185119"/>
        <c:axId val="653190111"/>
      </c:barChart>
      <c:catAx>
        <c:axId val="653185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53190111"/>
        <c:crosses val="autoZero"/>
        <c:auto val="1"/>
        <c:lblAlgn val="ctr"/>
        <c:lblOffset val="100"/>
        <c:noMultiLvlLbl val="0"/>
      </c:catAx>
      <c:valAx>
        <c:axId val="65319011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65318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Project.xlsx]Industry Companies!PivotTable1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0" i="0" u="none" strike="noStrike" kern="1200" spc="0" baseline="0">
                <a:solidFill>
                  <a:sysClr val="windowText" lastClr="000000">
                    <a:lumMod val="65000"/>
                    <a:lumOff val="35000"/>
                  </a:sysClr>
                </a:solidFill>
                <a:latin typeface="+mn-lt"/>
                <a:ea typeface="+mn-ea"/>
                <a:cs typeface="+mn-cs"/>
              </a:defRPr>
            </a:pPr>
            <a:r>
              <a:rPr lang="az-Latn-AZ" sz="2400" b="1" i="0" cap="all" baseline="0">
                <a:effectLst/>
              </a:rPr>
              <a:t>AVG OF REVENUE</a:t>
            </a:r>
            <a:endParaRPr lang="en-GB" sz="2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2400">
                <a:solidFill>
                  <a:sysClr val="windowText" lastClr="000000">
                    <a:lumMod val="65000"/>
                    <a:lumOff val="35000"/>
                  </a:sysClr>
                </a:solidFill>
              </a:defRPr>
            </a:pPr>
            <a:endParaRPr lang="en-US" sz="24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9528598529143"/>
          <c:y val="0.20528984169947506"/>
          <c:w val="0.75279943348665579"/>
          <c:h val="0.72960599163385831"/>
        </c:manualLayout>
      </c:layout>
      <c:barChart>
        <c:barDir val="bar"/>
        <c:grouping val="clustered"/>
        <c:varyColors val="0"/>
        <c:ser>
          <c:idx val="0"/>
          <c:order val="0"/>
          <c:tx>
            <c:strRef>
              <c:f>'Industry Companies'!$BF$105</c:f>
              <c:strCache>
                <c:ptCount val="1"/>
                <c:pt idx="0">
                  <c:v>Total</c:v>
                </c:pt>
              </c:strCache>
            </c:strRef>
          </c:tx>
          <c:spPr>
            <a:gradFill>
              <a:gsLst>
                <a:gs pos="0">
                  <a:srgbClr val="8B5CF6"/>
                </a:gs>
                <a:gs pos="50000">
                  <a:srgbClr val="8B5CF6"/>
                </a:gs>
                <a:gs pos="100000">
                  <a:srgbClr val="E9D5FF"/>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 Companies'!$BE$106:$BE$111</c:f>
              <c:strCache>
                <c:ptCount val="5"/>
                <c:pt idx="0">
                  <c:v>Retail</c:v>
                </c:pt>
                <c:pt idx="1">
                  <c:v>Finance</c:v>
                </c:pt>
                <c:pt idx="2">
                  <c:v>Healthcare</c:v>
                </c:pt>
                <c:pt idx="3">
                  <c:v>Manufacturing</c:v>
                </c:pt>
                <c:pt idx="4">
                  <c:v>Technology</c:v>
                </c:pt>
              </c:strCache>
            </c:strRef>
          </c:cat>
          <c:val>
            <c:numRef>
              <c:f>'Industry Companies'!$BF$106:$BF$111</c:f>
              <c:numCache>
                <c:formatCode>0.0</c:formatCode>
                <c:ptCount val="5"/>
                <c:pt idx="0">
                  <c:v>245.53100000000001</c:v>
                </c:pt>
                <c:pt idx="1">
                  <c:v>244.47596491228069</c:v>
                </c:pt>
                <c:pt idx="2">
                  <c:v>240.94178571428571</c:v>
                </c:pt>
                <c:pt idx="3">
                  <c:v>237.32209677419354</c:v>
                </c:pt>
                <c:pt idx="4">
                  <c:v>229.66246153846154</c:v>
                </c:pt>
              </c:numCache>
            </c:numRef>
          </c:val>
          <c:extLst>
            <c:ext xmlns:c16="http://schemas.microsoft.com/office/drawing/2014/chart" uri="{C3380CC4-5D6E-409C-BE32-E72D297353CC}">
              <c16:uniqueId val="{00000000-BF60-418C-845A-12412D3DE436}"/>
            </c:ext>
          </c:extLst>
        </c:ser>
        <c:dLbls>
          <c:dLblPos val="outEnd"/>
          <c:showLegendKey val="0"/>
          <c:showVal val="1"/>
          <c:showCatName val="0"/>
          <c:showSerName val="0"/>
          <c:showPercent val="0"/>
          <c:showBubbleSize val="0"/>
        </c:dLbls>
        <c:gapWidth val="40"/>
        <c:axId val="120528224"/>
        <c:axId val="120512000"/>
      </c:barChart>
      <c:catAx>
        <c:axId val="12052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0512000"/>
        <c:crosses val="autoZero"/>
        <c:auto val="1"/>
        <c:lblAlgn val="ctr"/>
        <c:lblOffset val="100"/>
        <c:noMultiLvlLbl val="0"/>
      </c:catAx>
      <c:valAx>
        <c:axId val="120512000"/>
        <c:scaling>
          <c:orientation val="minMax"/>
        </c:scaling>
        <c:delete val="1"/>
        <c:axPos val="b"/>
        <c:numFmt formatCode="0.0" sourceLinked="1"/>
        <c:majorTickMark val="none"/>
        <c:minorTickMark val="none"/>
        <c:tickLblPos val="nextTo"/>
        <c:crossAx val="120528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Project.xlsx]Industry Companies!ED AVG BY INDUSTRY</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az-Latn-AZ" sz="1800" b="1" i="0" cap="all" baseline="0">
                <a:effectLst/>
              </a:rPr>
              <a:t>AVG OF profitability</a:t>
            </a:r>
            <a:endParaRPr lang="en-GB">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1491688538934"/>
          <c:y val="0.16233814523184603"/>
          <c:w val="0.75537685914260722"/>
          <c:h val="0.73026246719160115"/>
        </c:manualLayout>
      </c:layout>
      <c:barChart>
        <c:barDir val="bar"/>
        <c:grouping val="clustered"/>
        <c:varyColors val="0"/>
        <c:ser>
          <c:idx val="0"/>
          <c:order val="0"/>
          <c:tx>
            <c:strRef>
              <c:f>'Industry Companies'!$BF$79</c:f>
              <c:strCache>
                <c:ptCount val="1"/>
                <c:pt idx="0">
                  <c:v>Total</c:v>
                </c:pt>
              </c:strCache>
            </c:strRef>
          </c:tx>
          <c:spPr>
            <a:gradFill>
              <a:gsLst>
                <a:gs pos="0">
                  <a:srgbClr val="8B5CF6"/>
                </a:gs>
                <a:gs pos="50000">
                  <a:srgbClr val="8B5CF6"/>
                </a:gs>
                <a:gs pos="100000">
                  <a:srgbClr val="E9D5FF"/>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 Companies'!$BE$80:$BE$85</c:f>
              <c:strCache>
                <c:ptCount val="5"/>
                <c:pt idx="0">
                  <c:v>Technology</c:v>
                </c:pt>
                <c:pt idx="1">
                  <c:v>Retail</c:v>
                </c:pt>
                <c:pt idx="2">
                  <c:v>Healthcare</c:v>
                </c:pt>
                <c:pt idx="3">
                  <c:v>Manufacturing</c:v>
                </c:pt>
                <c:pt idx="4">
                  <c:v>Finance</c:v>
                </c:pt>
              </c:strCache>
            </c:strRef>
          </c:cat>
          <c:val>
            <c:numRef>
              <c:f>'Industry Companies'!$BF$80:$BF$85</c:f>
              <c:numCache>
                <c:formatCode>0.0</c:formatCode>
                <c:ptCount val="5"/>
                <c:pt idx="0">
                  <c:v>11.268923076923077</c:v>
                </c:pt>
                <c:pt idx="1">
                  <c:v>10.262333333333334</c:v>
                </c:pt>
                <c:pt idx="2">
                  <c:v>9.8258928571428577</c:v>
                </c:pt>
                <c:pt idx="3">
                  <c:v>9.7916129032258077</c:v>
                </c:pt>
                <c:pt idx="4">
                  <c:v>9.4438596491228068</c:v>
                </c:pt>
              </c:numCache>
            </c:numRef>
          </c:val>
          <c:extLst>
            <c:ext xmlns:c16="http://schemas.microsoft.com/office/drawing/2014/chart" uri="{C3380CC4-5D6E-409C-BE32-E72D297353CC}">
              <c16:uniqueId val="{00000000-8FA0-41E5-BDD3-DB27E395AC1B}"/>
            </c:ext>
          </c:extLst>
        </c:ser>
        <c:dLbls>
          <c:dLblPos val="outEnd"/>
          <c:showLegendKey val="0"/>
          <c:showVal val="1"/>
          <c:showCatName val="0"/>
          <c:showSerName val="0"/>
          <c:showPercent val="0"/>
          <c:showBubbleSize val="0"/>
        </c:dLbls>
        <c:gapWidth val="40"/>
        <c:axId val="120537792"/>
        <c:axId val="120539040"/>
      </c:barChart>
      <c:catAx>
        <c:axId val="12053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0539040"/>
        <c:crosses val="autoZero"/>
        <c:auto val="1"/>
        <c:lblAlgn val="ctr"/>
        <c:lblOffset val="100"/>
        <c:noMultiLvlLbl val="0"/>
      </c:catAx>
      <c:valAx>
        <c:axId val="120539040"/>
        <c:scaling>
          <c:orientation val="minMax"/>
        </c:scaling>
        <c:delete val="1"/>
        <c:axPos val="b"/>
        <c:numFmt formatCode="0.0" sourceLinked="1"/>
        <c:majorTickMark val="none"/>
        <c:minorTickMark val="none"/>
        <c:tickLblPos val="nextTo"/>
        <c:crossAx val="12053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Project.xlsx]SWOT Intelligence!SWOT industry score</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t>SWOT Scores by Industry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6F2DBD"/>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794F4"/>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5CF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9D5FF"/>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'SWOT Intelligence'!$BA$73</c:f>
              <c:strCache>
                <c:ptCount val="1"/>
                <c:pt idx="0">
                  <c:v>Strength</c:v>
                </c:pt>
              </c:strCache>
            </c:strRef>
          </c:tx>
          <c:spPr>
            <a:solidFill>
              <a:srgbClr val="6F2DBD"/>
            </a:solidFill>
            <a:ln>
              <a:no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Intelligence'!$AZ$74:$AZ$79</c:f>
              <c:strCache>
                <c:ptCount val="5"/>
                <c:pt idx="0">
                  <c:v>Technology</c:v>
                </c:pt>
                <c:pt idx="1">
                  <c:v>Finance</c:v>
                </c:pt>
                <c:pt idx="2">
                  <c:v>Manufacturing</c:v>
                </c:pt>
                <c:pt idx="3">
                  <c:v>Retail</c:v>
                </c:pt>
                <c:pt idx="4">
                  <c:v>Healthcare</c:v>
                </c:pt>
              </c:strCache>
            </c:strRef>
          </c:cat>
          <c:val>
            <c:numRef>
              <c:f>'SWOT Intelligence'!$BA$74:$BA$79</c:f>
              <c:numCache>
                <c:formatCode>0</c:formatCode>
                <c:ptCount val="5"/>
                <c:pt idx="0">
                  <c:v>6.6</c:v>
                </c:pt>
                <c:pt idx="1">
                  <c:v>6.5614035087719298</c:v>
                </c:pt>
                <c:pt idx="2">
                  <c:v>6.532258064516129</c:v>
                </c:pt>
                <c:pt idx="3">
                  <c:v>6.4333333333333336</c:v>
                </c:pt>
                <c:pt idx="4">
                  <c:v>6.3571428571428568</c:v>
                </c:pt>
              </c:numCache>
            </c:numRef>
          </c:val>
          <c:extLst>
            <c:ext xmlns:c16="http://schemas.microsoft.com/office/drawing/2014/chart" uri="{C3380CC4-5D6E-409C-BE32-E72D297353CC}">
              <c16:uniqueId val="{00000001-9406-444A-9FD0-8C5E2E1675A2}"/>
            </c:ext>
          </c:extLst>
        </c:ser>
        <c:ser>
          <c:idx val="1"/>
          <c:order val="1"/>
          <c:tx>
            <c:strRef>
              <c:f>'SWOT Intelligence'!$BB$73</c:f>
              <c:strCache>
                <c:ptCount val="1"/>
                <c:pt idx="0">
                  <c:v>Weakness</c:v>
                </c:pt>
              </c:strCache>
            </c:strRef>
          </c:tx>
          <c:spPr>
            <a:solidFill>
              <a:srgbClr val="B794F4"/>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Intelligence'!$AZ$74:$AZ$79</c:f>
              <c:strCache>
                <c:ptCount val="5"/>
                <c:pt idx="0">
                  <c:v>Technology</c:v>
                </c:pt>
                <c:pt idx="1">
                  <c:v>Finance</c:v>
                </c:pt>
                <c:pt idx="2">
                  <c:v>Manufacturing</c:v>
                </c:pt>
                <c:pt idx="3">
                  <c:v>Retail</c:v>
                </c:pt>
                <c:pt idx="4">
                  <c:v>Healthcare</c:v>
                </c:pt>
              </c:strCache>
            </c:strRef>
          </c:cat>
          <c:val>
            <c:numRef>
              <c:f>'SWOT Intelligence'!$BB$74:$BB$79</c:f>
              <c:numCache>
                <c:formatCode>0</c:formatCode>
                <c:ptCount val="5"/>
                <c:pt idx="0">
                  <c:v>4.4153846153846157</c:v>
                </c:pt>
                <c:pt idx="1">
                  <c:v>4.333333333333333</c:v>
                </c:pt>
                <c:pt idx="2">
                  <c:v>4.580645161290323</c:v>
                </c:pt>
                <c:pt idx="3">
                  <c:v>4.2166666666666668</c:v>
                </c:pt>
                <c:pt idx="4">
                  <c:v>4.625</c:v>
                </c:pt>
              </c:numCache>
            </c:numRef>
          </c:val>
          <c:extLst>
            <c:ext xmlns:c16="http://schemas.microsoft.com/office/drawing/2014/chart" uri="{C3380CC4-5D6E-409C-BE32-E72D297353CC}">
              <c16:uniqueId val="{00000002-9406-444A-9FD0-8C5E2E1675A2}"/>
            </c:ext>
          </c:extLst>
        </c:ser>
        <c:ser>
          <c:idx val="2"/>
          <c:order val="2"/>
          <c:tx>
            <c:strRef>
              <c:f>'SWOT Intelligence'!$BC$73</c:f>
              <c:strCache>
                <c:ptCount val="1"/>
                <c:pt idx="0">
                  <c:v>Opportunity</c:v>
                </c:pt>
              </c:strCache>
            </c:strRef>
          </c:tx>
          <c:spPr>
            <a:solidFill>
              <a:srgbClr val="8B5CF6"/>
            </a:solidFill>
            <a:ln>
              <a:no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Intelligence'!$AZ$74:$AZ$79</c:f>
              <c:strCache>
                <c:ptCount val="5"/>
                <c:pt idx="0">
                  <c:v>Technology</c:v>
                </c:pt>
                <c:pt idx="1">
                  <c:v>Finance</c:v>
                </c:pt>
                <c:pt idx="2">
                  <c:v>Manufacturing</c:v>
                </c:pt>
                <c:pt idx="3">
                  <c:v>Retail</c:v>
                </c:pt>
                <c:pt idx="4">
                  <c:v>Healthcare</c:v>
                </c:pt>
              </c:strCache>
            </c:strRef>
          </c:cat>
          <c:val>
            <c:numRef>
              <c:f>'SWOT Intelligence'!$BC$74:$BC$79</c:f>
              <c:numCache>
                <c:formatCode>0</c:formatCode>
                <c:ptCount val="5"/>
                <c:pt idx="0">
                  <c:v>5.615384615384615</c:v>
                </c:pt>
                <c:pt idx="1">
                  <c:v>5.7368421052631575</c:v>
                </c:pt>
                <c:pt idx="2">
                  <c:v>5.725806451612903</c:v>
                </c:pt>
                <c:pt idx="3">
                  <c:v>5.5666666666666664</c:v>
                </c:pt>
                <c:pt idx="4">
                  <c:v>5.7857142857142856</c:v>
                </c:pt>
              </c:numCache>
            </c:numRef>
          </c:val>
          <c:extLst>
            <c:ext xmlns:c16="http://schemas.microsoft.com/office/drawing/2014/chart" uri="{C3380CC4-5D6E-409C-BE32-E72D297353CC}">
              <c16:uniqueId val="{00000003-9406-444A-9FD0-8C5E2E1675A2}"/>
            </c:ext>
          </c:extLst>
        </c:ser>
        <c:ser>
          <c:idx val="3"/>
          <c:order val="3"/>
          <c:tx>
            <c:strRef>
              <c:f>'SWOT Intelligence'!$BD$73</c:f>
              <c:strCache>
                <c:ptCount val="1"/>
                <c:pt idx="0">
                  <c:v>Threat</c:v>
                </c:pt>
              </c:strCache>
            </c:strRef>
          </c:tx>
          <c:spPr>
            <a:solidFill>
              <a:srgbClr val="E9D5FF"/>
            </a:solidFill>
            <a:ln>
              <a:no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Intelligence'!$AZ$74:$AZ$79</c:f>
              <c:strCache>
                <c:ptCount val="5"/>
                <c:pt idx="0">
                  <c:v>Technology</c:v>
                </c:pt>
                <c:pt idx="1">
                  <c:v>Finance</c:v>
                </c:pt>
                <c:pt idx="2">
                  <c:v>Manufacturing</c:v>
                </c:pt>
                <c:pt idx="3">
                  <c:v>Retail</c:v>
                </c:pt>
                <c:pt idx="4">
                  <c:v>Healthcare</c:v>
                </c:pt>
              </c:strCache>
            </c:strRef>
          </c:cat>
          <c:val>
            <c:numRef>
              <c:f>'SWOT Intelligence'!$BD$74:$BD$79</c:f>
              <c:numCache>
                <c:formatCode>0</c:formatCode>
                <c:ptCount val="5"/>
                <c:pt idx="0">
                  <c:v>4.2615384615384615</c:v>
                </c:pt>
                <c:pt idx="1">
                  <c:v>4.1754385964912277</c:v>
                </c:pt>
                <c:pt idx="2">
                  <c:v>4.306451612903226</c:v>
                </c:pt>
                <c:pt idx="3">
                  <c:v>4.666666666666667</c:v>
                </c:pt>
                <c:pt idx="4">
                  <c:v>4.1964285714285712</c:v>
                </c:pt>
              </c:numCache>
            </c:numRef>
          </c:val>
          <c:extLst>
            <c:ext xmlns:c16="http://schemas.microsoft.com/office/drawing/2014/chart" uri="{C3380CC4-5D6E-409C-BE32-E72D297353CC}">
              <c16:uniqueId val="{00000004-9406-444A-9FD0-8C5E2E1675A2}"/>
            </c:ext>
          </c:extLst>
        </c:ser>
        <c:dLbls>
          <c:showLegendKey val="0"/>
          <c:showVal val="1"/>
          <c:showCatName val="0"/>
          <c:showSerName val="0"/>
          <c:showPercent val="0"/>
          <c:showBubbleSize val="0"/>
        </c:dLbls>
        <c:gapWidth val="219"/>
        <c:overlap val="100"/>
        <c:axId val="132248656"/>
        <c:axId val="186135280"/>
      </c:barChart>
      <c:catAx>
        <c:axId val="13224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1400" b="0" i="0" u="none" strike="noStrike" kern="1200" baseline="0">
                <a:solidFill>
                  <a:schemeClr val="tx1"/>
                </a:solidFill>
                <a:latin typeface="+mn-lt"/>
                <a:ea typeface="+mn-ea"/>
                <a:cs typeface="+mn-cs"/>
              </a:defRPr>
            </a:pPr>
            <a:endParaRPr lang="en-US"/>
          </a:p>
        </c:txPr>
        <c:crossAx val="186135280"/>
        <c:crosses val="autoZero"/>
        <c:auto val="1"/>
        <c:lblAlgn val="ctr"/>
        <c:lblOffset val="100"/>
        <c:noMultiLvlLbl val="0"/>
      </c:catAx>
      <c:valAx>
        <c:axId val="186135280"/>
        <c:scaling>
          <c:orientation val="minMax"/>
        </c:scaling>
        <c:delete val="1"/>
        <c:axPos val="l"/>
        <c:numFmt formatCode="0%" sourceLinked="1"/>
        <c:majorTickMark val="none"/>
        <c:minorTickMark val="none"/>
        <c:tickLblPos val="nextTo"/>
        <c:crossAx val="132248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Project.xlsx]SWOT Intelligence!SWOT rating score</c:name>
    <c:fmtId val="1"/>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t>SWOT Rating Distribution</a:t>
            </a: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6F2DBD"/>
          </a:solidFill>
          <a:ln w="19050">
            <a:solidFill>
              <a:schemeClr val="lt1"/>
            </a:solidFill>
          </a:ln>
          <a:effectLst/>
        </c:spPr>
      </c:pivotFmt>
      <c:pivotFmt>
        <c:idx val="2"/>
        <c:spPr>
          <a:solidFill>
            <a:srgbClr val="6F2DBD"/>
          </a:solidFill>
          <a:ln w="19050">
            <a:solidFill>
              <a:schemeClr val="lt1"/>
            </a:solidFill>
          </a:ln>
          <a:effectLst/>
        </c:spPr>
      </c:pivotFmt>
      <c:pivotFmt>
        <c:idx val="3"/>
        <c:spPr>
          <a:solidFill>
            <a:srgbClr val="B794F4"/>
          </a:solidFill>
          <a:ln w="19050">
            <a:solidFill>
              <a:schemeClr val="lt1"/>
            </a:solidFill>
          </a:ln>
          <a:effectLst/>
        </c:spPr>
      </c:pivotFmt>
      <c:pivotFmt>
        <c:idx val="4"/>
        <c:spPr>
          <a:solidFill>
            <a:srgbClr val="E9D5FF"/>
          </a:solidFill>
          <a:ln w="19050">
            <a:solidFill>
              <a:schemeClr val="lt1"/>
            </a:solidFill>
          </a:ln>
          <a:effectLst/>
        </c:spPr>
      </c:pivotFmt>
    </c:pivotFmts>
    <c:plotArea>
      <c:layout>
        <c:manualLayout>
          <c:layoutTarget val="inner"/>
          <c:xMode val="edge"/>
          <c:yMode val="edge"/>
          <c:x val="0.1058014898872935"/>
          <c:y val="0.20518670166229222"/>
          <c:w val="0.7246715300293346"/>
          <c:h val="0.65703552055992998"/>
        </c:manualLayout>
      </c:layout>
      <c:doughnutChart>
        <c:varyColors val="1"/>
        <c:ser>
          <c:idx val="0"/>
          <c:order val="0"/>
          <c:tx>
            <c:strRef>
              <c:f>'SWOT Intelligence'!$BA$81</c:f>
              <c:strCache>
                <c:ptCount val="1"/>
                <c:pt idx="0">
                  <c:v>Total</c:v>
                </c:pt>
              </c:strCache>
            </c:strRef>
          </c:tx>
          <c:dPt>
            <c:idx val="0"/>
            <c:bubble3D val="0"/>
            <c:spPr>
              <a:solidFill>
                <a:srgbClr val="E9D5FF"/>
              </a:solidFill>
              <a:ln w="19050">
                <a:solidFill>
                  <a:schemeClr val="lt1"/>
                </a:solidFill>
              </a:ln>
              <a:effectLst/>
            </c:spPr>
            <c:extLst>
              <c:ext xmlns:c16="http://schemas.microsoft.com/office/drawing/2014/chart" uri="{C3380CC4-5D6E-409C-BE32-E72D297353CC}">
                <c16:uniqueId val="{00000001-1609-4749-A894-3DC131AF64F0}"/>
              </c:ext>
            </c:extLst>
          </c:dPt>
          <c:dPt>
            <c:idx val="1"/>
            <c:bubble3D val="0"/>
            <c:spPr>
              <a:solidFill>
                <a:srgbClr val="B794F4"/>
              </a:solidFill>
              <a:ln w="19050">
                <a:solidFill>
                  <a:schemeClr val="lt1"/>
                </a:solidFill>
              </a:ln>
              <a:effectLst/>
            </c:spPr>
            <c:extLst>
              <c:ext xmlns:c16="http://schemas.microsoft.com/office/drawing/2014/chart" uri="{C3380CC4-5D6E-409C-BE32-E72D297353CC}">
                <c16:uniqueId val="{00000003-1609-4749-A894-3DC131AF64F0}"/>
              </c:ext>
            </c:extLst>
          </c:dPt>
          <c:dPt>
            <c:idx val="2"/>
            <c:bubble3D val="0"/>
            <c:spPr>
              <a:solidFill>
                <a:srgbClr val="6F2DBD"/>
              </a:solidFill>
              <a:ln w="19050">
                <a:solidFill>
                  <a:schemeClr val="lt1"/>
                </a:solidFill>
              </a:ln>
              <a:effectLst/>
            </c:spPr>
            <c:extLst>
              <c:ext xmlns:c16="http://schemas.microsoft.com/office/drawing/2014/chart" uri="{C3380CC4-5D6E-409C-BE32-E72D297353CC}">
                <c16:uniqueId val="{00000005-1609-4749-A894-3DC131AF64F0}"/>
              </c:ext>
            </c:extLst>
          </c:dPt>
          <c:dPt>
            <c:idx val="3"/>
            <c:bubble3D val="0"/>
            <c:spPr>
              <a:solidFill>
                <a:srgbClr val="6F2DBD"/>
              </a:solidFill>
              <a:ln w="19050">
                <a:solidFill>
                  <a:schemeClr val="lt1"/>
                </a:solidFill>
              </a:ln>
              <a:effectLst/>
            </c:spPr>
            <c:extLst>
              <c:ext xmlns:c16="http://schemas.microsoft.com/office/drawing/2014/chart" uri="{C3380CC4-5D6E-409C-BE32-E72D297353CC}">
                <c16:uniqueId val="{00000007-1609-4749-A894-3DC131AF64F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'SWOT Intelligence'!$AZ$82:$AZ$86</c:f>
              <c:strCache>
                <c:ptCount val="4"/>
                <c:pt idx="0">
                  <c:v>Critical</c:v>
                </c:pt>
                <c:pt idx="1">
                  <c:v>Neutral</c:v>
                </c:pt>
                <c:pt idx="2">
                  <c:v>Positive</c:v>
                </c:pt>
                <c:pt idx="3">
                  <c:v>Strong</c:v>
                </c:pt>
              </c:strCache>
            </c:strRef>
          </c:cat>
          <c:val>
            <c:numRef>
              <c:f>'SWOT Intelligence'!$BA$82:$BA$86</c:f>
              <c:numCache>
                <c:formatCode>General</c:formatCode>
                <c:ptCount val="4"/>
                <c:pt idx="0">
                  <c:v>12</c:v>
                </c:pt>
                <c:pt idx="1">
                  <c:v>46</c:v>
                </c:pt>
                <c:pt idx="2">
                  <c:v>88</c:v>
                </c:pt>
                <c:pt idx="3">
                  <c:v>154</c:v>
                </c:pt>
              </c:numCache>
            </c:numRef>
          </c:val>
          <c:extLst>
            <c:ext xmlns:c16="http://schemas.microsoft.com/office/drawing/2014/chart" uri="{C3380CC4-5D6E-409C-BE32-E72D297353CC}">
              <c16:uniqueId val="{00000009-D76F-4691-9486-2955DF3B2D0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Project.xlsx]SWOT Intelligence!SWOT </c:name>
    <c:fmtId val="1"/>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SWOT Rating by Industry</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9D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79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F2D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'SWOT Intelligence'!$BA$88:$BA$89</c:f>
              <c:strCache>
                <c:ptCount val="1"/>
                <c:pt idx="0">
                  <c:v>Strong</c:v>
                </c:pt>
              </c:strCache>
            </c:strRef>
          </c:tx>
          <c:spPr>
            <a:solidFill>
              <a:srgbClr val="6F2D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Intelligence'!$AZ$90:$AZ$95</c:f>
              <c:strCache>
                <c:ptCount val="5"/>
                <c:pt idx="0">
                  <c:v>Finance</c:v>
                </c:pt>
                <c:pt idx="1">
                  <c:v>Healthcare</c:v>
                </c:pt>
                <c:pt idx="2">
                  <c:v>Manufacturing</c:v>
                </c:pt>
                <c:pt idx="3">
                  <c:v>Retail</c:v>
                </c:pt>
                <c:pt idx="4">
                  <c:v>Technology</c:v>
                </c:pt>
              </c:strCache>
            </c:strRef>
          </c:cat>
          <c:val>
            <c:numRef>
              <c:f>'SWOT Intelligence'!$BA$90:$BA$95</c:f>
              <c:numCache>
                <c:formatCode>0</c:formatCode>
                <c:ptCount val="5"/>
                <c:pt idx="0">
                  <c:v>29</c:v>
                </c:pt>
                <c:pt idx="1">
                  <c:v>28</c:v>
                </c:pt>
                <c:pt idx="2">
                  <c:v>33</c:v>
                </c:pt>
                <c:pt idx="3">
                  <c:v>28</c:v>
                </c:pt>
                <c:pt idx="4">
                  <c:v>36</c:v>
                </c:pt>
              </c:numCache>
            </c:numRef>
          </c:val>
          <c:extLst>
            <c:ext xmlns:c16="http://schemas.microsoft.com/office/drawing/2014/chart" uri="{C3380CC4-5D6E-409C-BE32-E72D297353CC}">
              <c16:uniqueId val="{00000001-D8C8-42DE-92CC-ED0DF75A2F04}"/>
            </c:ext>
          </c:extLst>
        </c:ser>
        <c:ser>
          <c:idx val="1"/>
          <c:order val="1"/>
          <c:tx>
            <c:strRef>
              <c:f>'SWOT Intelligence'!$BB$88:$BB$89</c:f>
              <c:strCache>
                <c:ptCount val="1"/>
                <c:pt idx="0">
                  <c:v>Positive</c:v>
                </c:pt>
              </c:strCache>
            </c:strRef>
          </c:tx>
          <c:spPr>
            <a:solidFill>
              <a:srgbClr val="8B5C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Intelligence'!$AZ$90:$AZ$95</c:f>
              <c:strCache>
                <c:ptCount val="5"/>
                <c:pt idx="0">
                  <c:v>Finance</c:v>
                </c:pt>
                <c:pt idx="1">
                  <c:v>Healthcare</c:v>
                </c:pt>
                <c:pt idx="2">
                  <c:v>Manufacturing</c:v>
                </c:pt>
                <c:pt idx="3">
                  <c:v>Retail</c:v>
                </c:pt>
                <c:pt idx="4">
                  <c:v>Technology</c:v>
                </c:pt>
              </c:strCache>
            </c:strRef>
          </c:cat>
          <c:val>
            <c:numRef>
              <c:f>'SWOT Intelligence'!$BB$90:$BB$95</c:f>
              <c:numCache>
                <c:formatCode>0</c:formatCode>
                <c:ptCount val="5"/>
                <c:pt idx="0">
                  <c:v>18</c:v>
                </c:pt>
                <c:pt idx="1">
                  <c:v>17</c:v>
                </c:pt>
                <c:pt idx="2">
                  <c:v>18</c:v>
                </c:pt>
                <c:pt idx="3">
                  <c:v>17</c:v>
                </c:pt>
                <c:pt idx="4">
                  <c:v>18</c:v>
                </c:pt>
              </c:numCache>
            </c:numRef>
          </c:val>
          <c:extLst>
            <c:ext xmlns:c16="http://schemas.microsoft.com/office/drawing/2014/chart" uri="{C3380CC4-5D6E-409C-BE32-E72D297353CC}">
              <c16:uniqueId val="{00000002-D8C8-42DE-92CC-ED0DF75A2F04}"/>
            </c:ext>
          </c:extLst>
        </c:ser>
        <c:ser>
          <c:idx val="2"/>
          <c:order val="2"/>
          <c:tx>
            <c:strRef>
              <c:f>'SWOT Intelligence'!$BC$88:$BC$89</c:f>
              <c:strCache>
                <c:ptCount val="1"/>
                <c:pt idx="0">
                  <c:v>Neutral</c:v>
                </c:pt>
              </c:strCache>
            </c:strRef>
          </c:tx>
          <c:spPr>
            <a:solidFill>
              <a:srgbClr val="B79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Intelligence'!$AZ$90:$AZ$95</c:f>
              <c:strCache>
                <c:ptCount val="5"/>
                <c:pt idx="0">
                  <c:v>Finance</c:v>
                </c:pt>
                <c:pt idx="1">
                  <c:v>Healthcare</c:v>
                </c:pt>
                <c:pt idx="2">
                  <c:v>Manufacturing</c:v>
                </c:pt>
                <c:pt idx="3">
                  <c:v>Retail</c:v>
                </c:pt>
                <c:pt idx="4">
                  <c:v>Technology</c:v>
                </c:pt>
              </c:strCache>
            </c:strRef>
          </c:cat>
          <c:val>
            <c:numRef>
              <c:f>'SWOT Intelligence'!$BC$90:$BC$95</c:f>
              <c:numCache>
                <c:formatCode>0</c:formatCode>
                <c:ptCount val="5"/>
                <c:pt idx="0">
                  <c:v>7</c:v>
                </c:pt>
                <c:pt idx="1">
                  <c:v>9</c:v>
                </c:pt>
                <c:pt idx="2">
                  <c:v>9</c:v>
                </c:pt>
                <c:pt idx="3">
                  <c:v>12</c:v>
                </c:pt>
                <c:pt idx="4">
                  <c:v>9</c:v>
                </c:pt>
              </c:numCache>
            </c:numRef>
          </c:val>
          <c:extLst>
            <c:ext xmlns:c16="http://schemas.microsoft.com/office/drawing/2014/chart" uri="{C3380CC4-5D6E-409C-BE32-E72D297353CC}">
              <c16:uniqueId val="{00000003-D8C8-42DE-92CC-ED0DF75A2F04}"/>
            </c:ext>
          </c:extLst>
        </c:ser>
        <c:ser>
          <c:idx val="3"/>
          <c:order val="3"/>
          <c:tx>
            <c:strRef>
              <c:f>'SWOT Intelligence'!$BD$88:$BD$89</c:f>
              <c:strCache>
                <c:ptCount val="1"/>
                <c:pt idx="0">
                  <c:v>Critical</c:v>
                </c:pt>
              </c:strCache>
            </c:strRef>
          </c:tx>
          <c:spPr>
            <a:solidFill>
              <a:srgbClr val="E9D5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Intelligence'!$AZ$90:$AZ$95</c:f>
              <c:strCache>
                <c:ptCount val="5"/>
                <c:pt idx="0">
                  <c:v>Finance</c:v>
                </c:pt>
                <c:pt idx="1">
                  <c:v>Healthcare</c:v>
                </c:pt>
                <c:pt idx="2">
                  <c:v>Manufacturing</c:v>
                </c:pt>
                <c:pt idx="3">
                  <c:v>Retail</c:v>
                </c:pt>
                <c:pt idx="4">
                  <c:v>Technology</c:v>
                </c:pt>
              </c:strCache>
            </c:strRef>
          </c:cat>
          <c:val>
            <c:numRef>
              <c:f>'SWOT Intelligence'!$BD$90:$BD$95</c:f>
              <c:numCache>
                <c:formatCode>0</c:formatCode>
                <c:ptCount val="5"/>
                <c:pt idx="0">
                  <c:v>3</c:v>
                </c:pt>
                <c:pt idx="1">
                  <c:v>2</c:v>
                </c:pt>
                <c:pt idx="2">
                  <c:v>2</c:v>
                </c:pt>
                <c:pt idx="3">
                  <c:v>3</c:v>
                </c:pt>
                <c:pt idx="4">
                  <c:v>2</c:v>
                </c:pt>
              </c:numCache>
            </c:numRef>
          </c:val>
          <c:extLst>
            <c:ext xmlns:c16="http://schemas.microsoft.com/office/drawing/2014/chart" uri="{C3380CC4-5D6E-409C-BE32-E72D297353CC}">
              <c16:uniqueId val="{00000004-D8C8-42DE-92CC-ED0DF75A2F04}"/>
            </c:ext>
          </c:extLst>
        </c:ser>
        <c:dLbls>
          <c:dLblPos val="inBase"/>
          <c:showLegendKey val="0"/>
          <c:showVal val="1"/>
          <c:showCatName val="0"/>
          <c:showSerName val="0"/>
          <c:showPercent val="0"/>
          <c:showBubbleSize val="0"/>
        </c:dLbls>
        <c:gapWidth val="150"/>
        <c:overlap val="100"/>
        <c:axId val="191378608"/>
        <c:axId val="191378192"/>
      </c:barChart>
      <c:catAx>
        <c:axId val="19137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91378192"/>
        <c:crosses val="autoZero"/>
        <c:auto val="1"/>
        <c:lblAlgn val="ctr"/>
        <c:lblOffset val="100"/>
        <c:noMultiLvlLbl val="0"/>
      </c:catAx>
      <c:valAx>
        <c:axId val="191378192"/>
        <c:scaling>
          <c:orientation val="minMax"/>
        </c:scaling>
        <c:delete val="1"/>
        <c:axPos val="b"/>
        <c:numFmt formatCode="0%" sourceLinked="1"/>
        <c:majorTickMark val="none"/>
        <c:minorTickMark val="none"/>
        <c:tickLblPos val="nextTo"/>
        <c:crossAx val="191378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Project.xlsx]SWOT Intelligence!SWOT  primary strength</c:name>
    <c:fmtId val="1"/>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az-Latn-AZ" sz="2000" b="1" i="0" u="none" strike="noStrike" baseline="0"/>
              <a:t>Primary Strengths</a:t>
            </a:r>
            <a:endParaRPr lang="az-Latn-AZ"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56227155955642"/>
          <c:y val="0.13731041728961096"/>
          <c:w val="0.6538089071757277"/>
          <c:h val="0.80312551912023655"/>
        </c:manualLayout>
      </c:layout>
      <c:barChart>
        <c:barDir val="bar"/>
        <c:grouping val="clustered"/>
        <c:varyColors val="0"/>
        <c:ser>
          <c:idx val="0"/>
          <c:order val="0"/>
          <c:tx>
            <c:strRef>
              <c:f>'SWOT Intelligence'!$BA$97</c:f>
              <c:strCache>
                <c:ptCount val="1"/>
                <c:pt idx="0">
                  <c:v>Total</c:v>
                </c:pt>
              </c:strCache>
            </c:strRef>
          </c:tx>
          <c:spPr>
            <a:gradFill>
              <a:gsLst>
                <a:gs pos="0">
                  <a:srgbClr val="8B5CF6"/>
                </a:gs>
                <a:gs pos="50000">
                  <a:srgbClr val="8B5CF6"/>
                </a:gs>
                <a:gs pos="100000">
                  <a:srgbClr val="E9D5FF"/>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Intelligence'!$AZ$98:$AZ$108</c:f>
              <c:strCache>
                <c:ptCount val="10"/>
                <c:pt idx="0">
                  <c:v>Capital Reserves</c:v>
                </c:pt>
                <c:pt idx="1">
                  <c:v>Brand Reputation</c:v>
                </c:pt>
                <c:pt idx="2">
                  <c:v>Market Leadership</c:v>
                </c:pt>
                <c:pt idx="3">
                  <c:v>Brand Recognition</c:v>
                </c:pt>
                <c:pt idx="4">
                  <c:v>R&amp;D Capabilities</c:v>
                </c:pt>
                <c:pt idx="5">
                  <c:v>Production Capacity</c:v>
                </c:pt>
                <c:pt idx="6">
                  <c:v>Store Network</c:v>
                </c:pt>
                <c:pt idx="7">
                  <c:v>Diversified Portfolio</c:v>
                </c:pt>
                <c:pt idx="8">
                  <c:v>Regulatory Compliance</c:v>
                </c:pt>
                <c:pt idx="9">
                  <c:v>Supply Chain</c:v>
                </c:pt>
              </c:strCache>
            </c:strRef>
          </c:cat>
          <c:val>
            <c:numRef>
              <c:f>'SWOT Intelligence'!$BA$98:$BA$108</c:f>
              <c:numCache>
                <c:formatCode>General</c:formatCode>
                <c:ptCount val="10"/>
                <c:pt idx="0">
                  <c:v>12</c:v>
                </c:pt>
                <c:pt idx="1">
                  <c:v>13</c:v>
                </c:pt>
                <c:pt idx="2">
                  <c:v>14</c:v>
                </c:pt>
                <c:pt idx="3">
                  <c:v>14</c:v>
                </c:pt>
                <c:pt idx="4">
                  <c:v>17</c:v>
                </c:pt>
                <c:pt idx="5">
                  <c:v>18</c:v>
                </c:pt>
                <c:pt idx="6">
                  <c:v>18</c:v>
                </c:pt>
                <c:pt idx="7">
                  <c:v>19</c:v>
                </c:pt>
                <c:pt idx="8">
                  <c:v>23</c:v>
                </c:pt>
                <c:pt idx="9">
                  <c:v>23</c:v>
                </c:pt>
              </c:numCache>
            </c:numRef>
          </c:val>
          <c:extLst>
            <c:ext xmlns:c16="http://schemas.microsoft.com/office/drawing/2014/chart" uri="{C3380CC4-5D6E-409C-BE32-E72D297353CC}">
              <c16:uniqueId val="{00000001-B13F-4D21-A4D4-3802F7EC2058}"/>
            </c:ext>
          </c:extLst>
        </c:ser>
        <c:dLbls>
          <c:dLblPos val="outEnd"/>
          <c:showLegendKey val="0"/>
          <c:showVal val="1"/>
          <c:showCatName val="0"/>
          <c:showSerName val="0"/>
          <c:showPercent val="0"/>
          <c:showBubbleSize val="0"/>
        </c:dLbls>
        <c:gapWidth val="182"/>
        <c:axId val="211451328"/>
        <c:axId val="211450080"/>
      </c:barChart>
      <c:catAx>
        <c:axId val="21145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11450080"/>
        <c:crosses val="autoZero"/>
        <c:auto val="1"/>
        <c:lblAlgn val="ctr"/>
        <c:lblOffset val="100"/>
        <c:noMultiLvlLbl val="0"/>
      </c:catAx>
      <c:valAx>
        <c:axId val="211450080"/>
        <c:scaling>
          <c:orientation val="minMax"/>
        </c:scaling>
        <c:delete val="1"/>
        <c:axPos val="b"/>
        <c:numFmt formatCode="General" sourceLinked="1"/>
        <c:majorTickMark val="none"/>
        <c:minorTickMark val="none"/>
        <c:tickLblPos val="nextTo"/>
        <c:crossAx val="211451328"/>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Project.xlsx]SWOT Intelligence!SWOT  primary weakness</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Primary Weaknesses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35304340363452"/>
          <c:y val="0.13153804930332261"/>
          <c:w val="0.61226622898295757"/>
          <c:h val="0.81969917546480331"/>
        </c:manualLayout>
      </c:layout>
      <c:barChart>
        <c:barDir val="bar"/>
        <c:grouping val="clustered"/>
        <c:varyColors val="0"/>
        <c:ser>
          <c:idx val="0"/>
          <c:order val="0"/>
          <c:tx>
            <c:strRef>
              <c:f>'SWOT Intelligence'!$BD$97</c:f>
              <c:strCache>
                <c:ptCount val="1"/>
                <c:pt idx="0">
                  <c:v>Total</c:v>
                </c:pt>
              </c:strCache>
            </c:strRef>
          </c:tx>
          <c:spPr>
            <a:gradFill>
              <a:gsLst>
                <a:gs pos="0">
                  <a:srgbClr val="8B5CF6"/>
                </a:gs>
                <a:gs pos="50000">
                  <a:srgbClr val="8B5CF6"/>
                </a:gs>
                <a:gs pos="100000">
                  <a:srgbClr val="E9D5FF"/>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Intelligence'!$BC$98:$BC$108</c:f>
              <c:strCache>
                <c:ptCount val="10"/>
                <c:pt idx="0">
                  <c:v>Insurance Dependencies</c:v>
                </c:pt>
                <c:pt idx="1">
                  <c:v>Supply Chain Dependencies</c:v>
                </c:pt>
                <c:pt idx="2">
                  <c:v>Regulatory Scrutiny</c:v>
                </c:pt>
                <c:pt idx="3">
                  <c:v>High Capital Requirements</c:v>
                </c:pt>
                <c:pt idx="4">
                  <c:v>Administrative Burden</c:v>
                </c:pt>
                <c:pt idx="5">
                  <c:v>Legacy Systems</c:v>
                </c:pt>
                <c:pt idx="6">
                  <c:v>Physical Store Costs</c:v>
                </c:pt>
                <c:pt idx="7">
                  <c:v>Low Margins</c:v>
                </c:pt>
                <c:pt idx="8">
                  <c:v>Talent Retention</c:v>
                </c:pt>
                <c:pt idx="9">
                  <c:v>Cybersecurity Risks</c:v>
                </c:pt>
              </c:strCache>
            </c:strRef>
          </c:cat>
          <c:val>
            <c:numRef>
              <c:f>'SWOT Intelligence'!$BD$98:$BD$108</c:f>
              <c:numCache>
                <c:formatCode>General</c:formatCode>
                <c:ptCount val="10"/>
                <c:pt idx="0">
                  <c:v>16</c:v>
                </c:pt>
                <c:pt idx="1">
                  <c:v>16</c:v>
                </c:pt>
                <c:pt idx="2">
                  <c:v>16</c:v>
                </c:pt>
                <c:pt idx="3">
                  <c:v>16</c:v>
                </c:pt>
                <c:pt idx="4">
                  <c:v>18</c:v>
                </c:pt>
                <c:pt idx="5">
                  <c:v>19</c:v>
                </c:pt>
                <c:pt idx="6">
                  <c:v>19</c:v>
                </c:pt>
                <c:pt idx="7">
                  <c:v>19</c:v>
                </c:pt>
                <c:pt idx="8">
                  <c:v>21</c:v>
                </c:pt>
                <c:pt idx="9">
                  <c:v>25</c:v>
                </c:pt>
              </c:numCache>
            </c:numRef>
          </c:val>
          <c:extLst>
            <c:ext xmlns:c16="http://schemas.microsoft.com/office/drawing/2014/chart" uri="{C3380CC4-5D6E-409C-BE32-E72D297353CC}">
              <c16:uniqueId val="{00000001-47F3-4549-B754-3EA5D2383B61}"/>
            </c:ext>
          </c:extLst>
        </c:ser>
        <c:dLbls>
          <c:dLblPos val="outEnd"/>
          <c:showLegendKey val="0"/>
          <c:showVal val="1"/>
          <c:showCatName val="0"/>
          <c:showSerName val="0"/>
          <c:showPercent val="0"/>
          <c:showBubbleSize val="0"/>
        </c:dLbls>
        <c:gapWidth val="182"/>
        <c:axId val="758392144"/>
        <c:axId val="758389232"/>
      </c:barChart>
      <c:catAx>
        <c:axId val="75839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58389232"/>
        <c:crosses val="autoZero"/>
        <c:auto val="1"/>
        <c:lblAlgn val="ctr"/>
        <c:lblOffset val="100"/>
        <c:noMultiLvlLbl val="0"/>
      </c:catAx>
      <c:valAx>
        <c:axId val="758389232"/>
        <c:scaling>
          <c:orientation val="minMax"/>
        </c:scaling>
        <c:delete val="1"/>
        <c:axPos val="b"/>
        <c:numFmt formatCode="General" sourceLinked="1"/>
        <c:majorTickMark val="none"/>
        <c:minorTickMark val="none"/>
        <c:tickLblPos val="nextTo"/>
        <c:crossAx val="75839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Project.xlsx]SWOT Intelligence!SWOT  primary opportunity</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Primary Opportunities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8B5CF6"/>
              </a:gs>
              <a:gs pos="50000">
                <a:srgbClr val="8B5CF6"/>
              </a:gs>
              <a:gs pos="100000">
                <a:srgbClr val="E9D5FF"/>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96981627296592"/>
          <c:y val="0.13912473794549265"/>
          <c:w val="0.61587505438825496"/>
          <c:h val="0.80008315587910006"/>
        </c:manualLayout>
      </c:layout>
      <c:barChart>
        <c:barDir val="bar"/>
        <c:grouping val="clustered"/>
        <c:varyColors val="0"/>
        <c:ser>
          <c:idx val="0"/>
          <c:order val="0"/>
          <c:tx>
            <c:strRef>
              <c:f>'SWOT Intelligence'!$BG$97</c:f>
              <c:strCache>
                <c:ptCount val="1"/>
                <c:pt idx="0">
                  <c:v>Total</c:v>
                </c:pt>
              </c:strCache>
            </c:strRef>
          </c:tx>
          <c:spPr>
            <a:gradFill>
              <a:gsLst>
                <a:gs pos="0">
                  <a:srgbClr val="8B5CF6"/>
                </a:gs>
                <a:gs pos="50000">
                  <a:srgbClr val="8B5CF6"/>
                </a:gs>
                <a:gs pos="100000">
                  <a:srgbClr val="E9D5FF"/>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Intelligence'!$BF$98:$BF$108</c:f>
              <c:strCache>
                <c:ptCount val="10"/>
                <c:pt idx="0">
                  <c:v>Automation</c:v>
                </c:pt>
                <c:pt idx="1">
                  <c:v>Sustainable Manufacturing</c:v>
                </c:pt>
                <c:pt idx="2">
                  <c:v>Global Health Initiatives</c:v>
                </c:pt>
                <c:pt idx="3">
                  <c:v>Digital Banking</c:v>
                </c:pt>
                <c:pt idx="4">
                  <c:v>Personalized Medicine</c:v>
                </c:pt>
                <c:pt idx="5">
                  <c:v>IoT Expansion</c:v>
                </c:pt>
                <c:pt idx="6">
                  <c:v>Customization Trends</c:v>
                </c:pt>
                <c:pt idx="7">
                  <c:v>E-commerce Growth</c:v>
                </c:pt>
                <c:pt idx="8">
                  <c:v>Cloud Computing</c:v>
                </c:pt>
                <c:pt idx="9">
                  <c:v>Emerging Markets</c:v>
                </c:pt>
              </c:strCache>
            </c:strRef>
          </c:cat>
          <c:val>
            <c:numRef>
              <c:f>'SWOT Intelligence'!$BG$98:$BG$108</c:f>
              <c:numCache>
                <c:formatCode>General</c:formatCode>
                <c:ptCount val="10"/>
                <c:pt idx="0">
                  <c:v>15</c:v>
                </c:pt>
                <c:pt idx="1">
                  <c:v>15</c:v>
                </c:pt>
                <c:pt idx="2">
                  <c:v>16</c:v>
                </c:pt>
                <c:pt idx="3">
                  <c:v>16</c:v>
                </c:pt>
                <c:pt idx="4">
                  <c:v>16</c:v>
                </c:pt>
                <c:pt idx="5">
                  <c:v>18</c:v>
                </c:pt>
                <c:pt idx="6">
                  <c:v>19</c:v>
                </c:pt>
                <c:pt idx="7">
                  <c:v>22</c:v>
                </c:pt>
                <c:pt idx="8">
                  <c:v>23</c:v>
                </c:pt>
                <c:pt idx="9">
                  <c:v>28</c:v>
                </c:pt>
              </c:numCache>
            </c:numRef>
          </c:val>
          <c:extLst>
            <c:ext xmlns:c16="http://schemas.microsoft.com/office/drawing/2014/chart" uri="{C3380CC4-5D6E-409C-BE32-E72D297353CC}">
              <c16:uniqueId val="{00000001-C731-4B37-B0A8-A1854AC9E5D0}"/>
            </c:ext>
          </c:extLst>
        </c:ser>
        <c:dLbls>
          <c:dLblPos val="outEnd"/>
          <c:showLegendKey val="0"/>
          <c:showVal val="1"/>
          <c:showCatName val="0"/>
          <c:showSerName val="0"/>
          <c:showPercent val="0"/>
          <c:showBubbleSize val="0"/>
        </c:dLbls>
        <c:gapWidth val="182"/>
        <c:axId val="209987808"/>
        <c:axId val="209988224"/>
      </c:barChart>
      <c:catAx>
        <c:axId val="20998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9988224"/>
        <c:crosses val="autoZero"/>
        <c:auto val="1"/>
        <c:lblAlgn val="ctr"/>
        <c:lblOffset val="100"/>
        <c:noMultiLvlLbl val="0"/>
      </c:catAx>
      <c:valAx>
        <c:axId val="209988224"/>
        <c:scaling>
          <c:orientation val="minMax"/>
        </c:scaling>
        <c:delete val="1"/>
        <c:axPos val="b"/>
        <c:numFmt formatCode="General" sourceLinked="1"/>
        <c:majorTickMark val="none"/>
        <c:minorTickMark val="none"/>
        <c:tickLblPos val="nextTo"/>
        <c:crossAx val="209987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Project.xlsx]SWOT Intelligence!SWOT  primary threat</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Primary Threats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8B5CF6"/>
              </a:gs>
              <a:gs pos="50000">
                <a:srgbClr val="8B5CF6"/>
              </a:gs>
              <a:gs pos="100000">
                <a:srgbClr val="E9D5FF"/>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81149507786057"/>
          <c:y val="0.13737105053324031"/>
          <c:w val="0.56631553763554354"/>
          <c:h val="0.80474891192398423"/>
        </c:manualLayout>
      </c:layout>
      <c:barChart>
        <c:barDir val="bar"/>
        <c:grouping val="clustered"/>
        <c:varyColors val="0"/>
        <c:ser>
          <c:idx val="0"/>
          <c:order val="0"/>
          <c:tx>
            <c:strRef>
              <c:f>'SWOT Intelligence'!$CK$160</c:f>
              <c:strCache>
                <c:ptCount val="1"/>
                <c:pt idx="0">
                  <c:v>Total</c:v>
                </c:pt>
              </c:strCache>
            </c:strRef>
          </c:tx>
          <c:spPr>
            <a:gradFill flip="none" rotWithShape="1">
              <a:gsLst>
                <a:gs pos="0">
                  <a:srgbClr val="8B5CF6"/>
                </a:gs>
                <a:gs pos="50000">
                  <a:srgbClr val="8B5CF6"/>
                </a:gs>
                <a:gs pos="100000">
                  <a:srgbClr val="E9D5FF"/>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Intelligence'!$CJ$161:$CJ$171</c:f>
              <c:strCache>
                <c:ptCount val="10"/>
                <c:pt idx="0">
                  <c:v>Raw Material Costs</c:v>
                </c:pt>
                <c:pt idx="1">
                  <c:v>Trade Tariffs</c:v>
                </c:pt>
                <c:pt idx="2">
                  <c:v>Supply Chain Disruptions</c:v>
                </c:pt>
                <c:pt idx="3">
                  <c:v>Patent Issues</c:v>
                </c:pt>
                <c:pt idx="4">
                  <c:v>Tech Disruption</c:v>
                </c:pt>
                <c:pt idx="5">
                  <c:v>Changing Consumer Trends</c:v>
                </c:pt>
                <c:pt idx="6">
                  <c:v>Competition from Fintech</c:v>
                </c:pt>
                <c:pt idx="7">
                  <c:v>Intense Competition</c:v>
                </c:pt>
                <c:pt idx="8">
                  <c:v>Environmental Regulations</c:v>
                </c:pt>
                <c:pt idx="9">
                  <c:v>Regulatory Changes</c:v>
                </c:pt>
              </c:strCache>
            </c:strRef>
          </c:cat>
          <c:val>
            <c:numRef>
              <c:f>'SWOT Intelligence'!$CK$161:$CK$171</c:f>
              <c:numCache>
                <c:formatCode>General</c:formatCode>
                <c:ptCount val="10"/>
                <c:pt idx="0">
                  <c:v>15</c:v>
                </c:pt>
                <c:pt idx="1">
                  <c:v>15</c:v>
                </c:pt>
                <c:pt idx="2">
                  <c:v>15</c:v>
                </c:pt>
                <c:pt idx="3">
                  <c:v>17</c:v>
                </c:pt>
                <c:pt idx="4">
                  <c:v>17</c:v>
                </c:pt>
                <c:pt idx="5">
                  <c:v>18</c:v>
                </c:pt>
                <c:pt idx="6">
                  <c:v>18</c:v>
                </c:pt>
                <c:pt idx="7">
                  <c:v>18</c:v>
                </c:pt>
                <c:pt idx="8">
                  <c:v>19</c:v>
                </c:pt>
                <c:pt idx="9">
                  <c:v>31</c:v>
                </c:pt>
              </c:numCache>
            </c:numRef>
          </c:val>
          <c:extLst>
            <c:ext xmlns:c16="http://schemas.microsoft.com/office/drawing/2014/chart" uri="{C3380CC4-5D6E-409C-BE32-E72D297353CC}">
              <c16:uniqueId val="{00000001-C71C-4A8D-8CC6-9837FFCA6236}"/>
            </c:ext>
          </c:extLst>
        </c:ser>
        <c:dLbls>
          <c:showLegendKey val="0"/>
          <c:showVal val="0"/>
          <c:showCatName val="0"/>
          <c:showSerName val="0"/>
          <c:showPercent val="0"/>
          <c:showBubbleSize val="0"/>
        </c:dLbls>
        <c:gapWidth val="182"/>
        <c:axId val="128981392"/>
        <c:axId val="128982224"/>
      </c:barChart>
      <c:catAx>
        <c:axId val="12898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8982224"/>
        <c:crosses val="autoZero"/>
        <c:auto val="1"/>
        <c:lblAlgn val="ctr"/>
        <c:lblOffset val="100"/>
        <c:noMultiLvlLbl val="0"/>
      </c:catAx>
      <c:valAx>
        <c:axId val="128982224"/>
        <c:scaling>
          <c:orientation val="minMax"/>
        </c:scaling>
        <c:delete val="1"/>
        <c:axPos val="b"/>
        <c:numFmt formatCode="General" sourceLinked="1"/>
        <c:majorTickMark val="none"/>
        <c:minorTickMark val="none"/>
        <c:tickLblPos val="nextTo"/>
        <c:crossAx val="12898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Project.xlsx]SWOT Intelligence!SWOT market </c:name>
    <c:fmtId val="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i="0" baseline="0">
                <a:effectLst/>
              </a:rPr>
              <a:t>SWOT Rating </a:t>
            </a:r>
            <a:r>
              <a:rPr lang="az-Latn-AZ" sz="2400" b="1" i="0" baseline="0">
                <a:effectLst/>
              </a:rPr>
              <a:t>vs Market Position</a:t>
            </a:r>
            <a:endParaRPr lang="en-US" sz="2400">
              <a:effectLst/>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9D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79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F2D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'SWOT Intelligence'!$BA$112:$BA$113</c:f>
              <c:strCache>
                <c:ptCount val="1"/>
                <c:pt idx="0">
                  <c:v>Strong</c:v>
                </c:pt>
              </c:strCache>
            </c:strRef>
          </c:tx>
          <c:spPr>
            <a:solidFill>
              <a:srgbClr val="6F2D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Intelligence'!$AZ$114:$AZ$118</c:f>
              <c:strCache>
                <c:ptCount val="4"/>
                <c:pt idx="0">
                  <c:v>Niche</c:v>
                </c:pt>
                <c:pt idx="1">
                  <c:v>Leader</c:v>
                </c:pt>
                <c:pt idx="2">
                  <c:v>Challenger</c:v>
                </c:pt>
                <c:pt idx="3">
                  <c:v>Follower</c:v>
                </c:pt>
              </c:strCache>
            </c:strRef>
          </c:cat>
          <c:val>
            <c:numRef>
              <c:f>'SWOT Intelligence'!$BA$114:$BA$118</c:f>
              <c:numCache>
                <c:formatCode>General</c:formatCode>
                <c:ptCount val="4"/>
                <c:pt idx="0">
                  <c:v>41</c:v>
                </c:pt>
                <c:pt idx="1">
                  <c:v>37</c:v>
                </c:pt>
                <c:pt idx="2">
                  <c:v>40</c:v>
                </c:pt>
                <c:pt idx="3">
                  <c:v>36</c:v>
                </c:pt>
              </c:numCache>
            </c:numRef>
          </c:val>
          <c:extLst>
            <c:ext xmlns:c16="http://schemas.microsoft.com/office/drawing/2014/chart" uri="{C3380CC4-5D6E-409C-BE32-E72D297353CC}">
              <c16:uniqueId val="{00000001-18DC-48CB-89FE-78FCC9F29989}"/>
            </c:ext>
          </c:extLst>
        </c:ser>
        <c:ser>
          <c:idx val="1"/>
          <c:order val="1"/>
          <c:tx>
            <c:strRef>
              <c:f>'SWOT Intelligence'!$BB$112:$BB$113</c:f>
              <c:strCache>
                <c:ptCount val="1"/>
                <c:pt idx="0">
                  <c:v>Positive</c:v>
                </c:pt>
              </c:strCache>
            </c:strRef>
          </c:tx>
          <c:spPr>
            <a:solidFill>
              <a:srgbClr val="8B5C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Intelligence'!$AZ$114:$AZ$118</c:f>
              <c:strCache>
                <c:ptCount val="4"/>
                <c:pt idx="0">
                  <c:v>Niche</c:v>
                </c:pt>
                <c:pt idx="1">
                  <c:v>Leader</c:v>
                </c:pt>
                <c:pt idx="2">
                  <c:v>Challenger</c:v>
                </c:pt>
                <c:pt idx="3">
                  <c:v>Follower</c:v>
                </c:pt>
              </c:strCache>
            </c:strRef>
          </c:cat>
          <c:val>
            <c:numRef>
              <c:f>'SWOT Intelligence'!$BB$114:$BB$118</c:f>
              <c:numCache>
                <c:formatCode>General</c:formatCode>
                <c:ptCount val="4"/>
                <c:pt idx="0">
                  <c:v>27</c:v>
                </c:pt>
                <c:pt idx="1">
                  <c:v>22</c:v>
                </c:pt>
                <c:pt idx="2">
                  <c:v>18</c:v>
                </c:pt>
                <c:pt idx="3">
                  <c:v>21</c:v>
                </c:pt>
              </c:numCache>
            </c:numRef>
          </c:val>
          <c:extLst>
            <c:ext xmlns:c16="http://schemas.microsoft.com/office/drawing/2014/chart" uri="{C3380CC4-5D6E-409C-BE32-E72D297353CC}">
              <c16:uniqueId val="{00000002-18DC-48CB-89FE-78FCC9F29989}"/>
            </c:ext>
          </c:extLst>
        </c:ser>
        <c:ser>
          <c:idx val="2"/>
          <c:order val="2"/>
          <c:tx>
            <c:strRef>
              <c:f>'SWOT Intelligence'!$BC$112:$BC$113</c:f>
              <c:strCache>
                <c:ptCount val="1"/>
                <c:pt idx="0">
                  <c:v>Neutral</c:v>
                </c:pt>
              </c:strCache>
            </c:strRef>
          </c:tx>
          <c:spPr>
            <a:solidFill>
              <a:srgbClr val="B79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Intelligence'!$AZ$114:$AZ$118</c:f>
              <c:strCache>
                <c:ptCount val="4"/>
                <c:pt idx="0">
                  <c:v>Niche</c:v>
                </c:pt>
                <c:pt idx="1">
                  <c:v>Leader</c:v>
                </c:pt>
                <c:pt idx="2">
                  <c:v>Challenger</c:v>
                </c:pt>
                <c:pt idx="3">
                  <c:v>Follower</c:v>
                </c:pt>
              </c:strCache>
            </c:strRef>
          </c:cat>
          <c:val>
            <c:numRef>
              <c:f>'SWOT Intelligence'!$BC$114:$BC$118</c:f>
              <c:numCache>
                <c:formatCode>General</c:formatCode>
                <c:ptCount val="4"/>
                <c:pt idx="0">
                  <c:v>12</c:v>
                </c:pt>
                <c:pt idx="1">
                  <c:v>13</c:v>
                </c:pt>
                <c:pt idx="2">
                  <c:v>11</c:v>
                </c:pt>
                <c:pt idx="3">
                  <c:v>10</c:v>
                </c:pt>
              </c:numCache>
            </c:numRef>
          </c:val>
          <c:extLst>
            <c:ext xmlns:c16="http://schemas.microsoft.com/office/drawing/2014/chart" uri="{C3380CC4-5D6E-409C-BE32-E72D297353CC}">
              <c16:uniqueId val="{00000003-18DC-48CB-89FE-78FCC9F29989}"/>
            </c:ext>
          </c:extLst>
        </c:ser>
        <c:ser>
          <c:idx val="3"/>
          <c:order val="3"/>
          <c:tx>
            <c:strRef>
              <c:f>'SWOT Intelligence'!$BD$112:$BD$113</c:f>
              <c:strCache>
                <c:ptCount val="1"/>
                <c:pt idx="0">
                  <c:v>Critical</c:v>
                </c:pt>
              </c:strCache>
            </c:strRef>
          </c:tx>
          <c:spPr>
            <a:solidFill>
              <a:srgbClr val="E9D5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'SWOT Intelligence'!$AZ$114:$AZ$118</c:f>
              <c:strCache>
                <c:ptCount val="4"/>
                <c:pt idx="0">
                  <c:v>Niche</c:v>
                </c:pt>
                <c:pt idx="1">
                  <c:v>Leader</c:v>
                </c:pt>
                <c:pt idx="2">
                  <c:v>Challenger</c:v>
                </c:pt>
                <c:pt idx="3">
                  <c:v>Follower</c:v>
                </c:pt>
              </c:strCache>
            </c:strRef>
          </c:cat>
          <c:val>
            <c:numRef>
              <c:f>'SWOT Intelligence'!$BD$114:$BD$118</c:f>
              <c:numCache>
                <c:formatCode>General</c:formatCode>
                <c:ptCount val="4"/>
                <c:pt idx="0">
                  <c:v>3</c:v>
                </c:pt>
                <c:pt idx="1">
                  <c:v>3</c:v>
                </c:pt>
                <c:pt idx="2">
                  <c:v>2</c:v>
                </c:pt>
                <c:pt idx="3">
                  <c:v>4</c:v>
                </c:pt>
              </c:numCache>
            </c:numRef>
          </c:val>
          <c:extLst>
            <c:ext xmlns:c16="http://schemas.microsoft.com/office/drawing/2014/chart" uri="{C3380CC4-5D6E-409C-BE32-E72D297353CC}">
              <c16:uniqueId val="{00000004-18DC-48CB-89FE-78FCC9F29989}"/>
            </c:ext>
          </c:extLst>
        </c:ser>
        <c:dLbls>
          <c:dLblPos val="inBase"/>
          <c:showLegendKey val="0"/>
          <c:showVal val="1"/>
          <c:showCatName val="0"/>
          <c:showSerName val="0"/>
          <c:showPercent val="0"/>
          <c:showBubbleSize val="0"/>
        </c:dLbls>
        <c:gapWidth val="150"/>
        <c:overlap val="100"/>
        <c:axId val="895616912"/>
        <c:axId val="895622736"/>
      </c:barChart>
      <c:catAx>
        <c:axId val="89561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895622736"/>
        <c:crosses val="autoZero"/>
        <c:auto val="1"/>
        <c:lblAlgn val="ctr"/>
        <c:lblOffset val="100"/>
        <c:noMultiLvlLbl val="0"/>
      </c:catAx>
      <c:valAx>
        <c:axId val="895622736"/>
        <c:scaling>
          <c:orientation val="minMax"/>
        </c:scaling>
        <c:delete val="1"/>
        <c:axPos val="b"/>
        <c:numFmt formatCode="0%" sourceLinked="1"/>
        <c:majorTickMark val="none"/>
        <c:minorTickMark val="none"/>
        <c:tickLblPos val="nextTo"/>
        <c:crossAx val="895616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'SWOT Intelligence'!$BG$74</c:f>
              <c:strCache>
                <c:ptCount val="1"/>
                <c:pt idx="0">
                  <c:v>Technology</c:v>
                </c:pt>
              </c:strCache>
            </c:strRef>
          </c:tx>
          <c:spPr>
            <a:ln w="28575" cap="rnd">
              <a:solidFill>
                <a:schemeClr val="accent1"/>
              </a:solidFill>
              <a:round/>
            </a:ln>
            <a:effectLst/>
          </c:spPr>
          <c:marker>
            <c:symbol val="none"/>
          </c:marker>
          <c:val>
            <c:numRef>
              <c:f>'SWOT Intelligence'!$BH$74:$BK$74</c:f>
              <c:numCache>
                <c:formatCode>0</c:formatCode>
                <c:ptCount val="4"/>
                <c:pt idx="0">
                  <c:v>6.6</c:v>
                </c:pt>
                <c:pt idx="1">
                  <c:v>4.4153846153846157</c:v>
                </c:pt>
                <c:pt idx="2">
                  <c:v>5.615384615384615</c:v>
                </c:pt>
                <c:pt idx="3">
                  <c:v>4.2615384615384615</c:v>
                </c:pt>
              </c:numCache>
            </c:numRef>
          </c:val>
          <c:extLst>
            <c:ext xmlns:c16="http://schemas.microsoft.com/office/drawing/2014/chart" uri="{C3380CC4-5D6E-409C-BE32-E72D297353CC}">
              <c16:uniqueId val="{00000000-368B-4A7D-904F-87999740D73B}"/>
            </c:ext>
          </c:extLst>
        </c:ser>
        <c:ser>
          <c:idx val="1"/>
          <c:order val="1"/>
          <c:tx>
            <c:strRef>
              <c:f>'SWOT Intelligence'!$BG$75</c:f>
              <c:strCache>
                <c:ptCount val="1"/>
                <c:pt idx="0">
                  <c:v>Finance</c:v>
                </c:pt>
              </c:strCache>
            </c:strRef>
          </c:tx>
          <c:spPr>
            <a:ln w="28575" cap="rnd">
              <a:solidFill>
                <a:schemeClr val="accent2"/>
              </a:solidFill>
              <a:round/>
            </a:ln>
            <a:effectLst/>
          </c:spPr>
          <c:marker>
            <c:symbol val="none"/>
          </c:marker>
          <c:val>
            <c:numRef>
              <c:f>'SWOT Intelligence'!$BH$75:$BK$75</c:f>
              <c:numCache>
                <c:formatCode>0</c:formatCode>
                <c:ptCount val="4"/>
                <c:pt idx="0">
                  <c:v>6.5614035087719298</c:v>
                </c:pt>
                <c:pt idx="1">
                  <c:v>4.333333333333333</c:v>
                </c:pt>
                <c:pt idx="2">
                  <c:v>5.7368421052631575</c:v>
                </c:pt>
                <c:pt idx="3">
                  <c:v>4.1754385964912277</c:v>
                </c:pt>
              </c:numCache>
            </c:numRef>
          </c:val>
          <c:extLst>
            <c:ext xmlns:c16="http://schemas.microsoft.com/office/drawing/2014/chart" uri="{C3380CC4-5D6E-409C-BE32-E72D297353CC}">
              <c16:uniqueId val="{00000001-368B-4A7D-904F-87999740D73B}"/>
            </c:ext>
          </c:extLst>
        </c:ser>
        <c:ser>
          <c:idx val="2"/>
          <c:order val="2"/>
          <c:tx>
            <c:strRef>
              <c:f>'SWOT Intelligence'!$BG$76</c:f>
              <c:strCache>
                <c:ptCount val="1"/>
                <c:pt idx="0">
                  <c:v>Manufacturing</c:v>
                </c:pt>
              </c:strCache>
            </c:strRef>
          </c:tx>
          <c:spPr>
            <a:ln w="28575" cap="rnd">
              <a:solidFill>
                <a:schemeClr val="accent3"/>
              </a:solidFill>
              <a:round/>
            </a:ln>
            <a:effectLst/>
          </c:spPr>
          <c:marker>
            <c:symbol val="none"/>
          </c:marker>
          <c:val>
            <c:numRef>
              <c:f>'SWOT Intelligence'!$BH$76:$BK$76</c:f>
              <c:numCache>
                <c:formatCode>0</c:formatCode>
                <c:ptCount val="4"/>
                <c:pt idx="0">
                  <c:v>6.532258064516129</c:v>
                </c:pt>
                <c:pt idx="1">
                  <c:v>4.580645161290323</c:v>
                </c:pt>
                <c:pt idx="2">
                  <c:v>5.725806451612903</c:v>
                </c:pt>
                <c:pt idx="3">
                  <c:v>4.306451612903226</c:v>
                </c:pt>
              </c:numCache>
            </c:numRef>
          </c:val>
          <c:extLst>
            <c:ext xmlns:c16="http://schemas.microsoft.com/office/drawing/2014/chart" uri="{C3380CC4-5D6E-409C-BE32-E72D297353CC}">
              <c16:uniqueId val="{00000002-368B-4A7D-904F-87999740D73B}"/>
            </c:ext>
          </c:extLst>
        </c:ser>
        <c:ser>
          <c:idx val="3"/>
          <c:order val="3"/>
          <c:tx>
            <c:strRef>
              <c:f>'SWOT Intelligence'!$BG$77</c:f>
              <c:strCache>
                <c:ptCount val="1"/>
                <c:pt idx="0">
                  <c:v>Retail</c:v>
                </c:pt>
              </c:strCache>
            </c:strRef>
          </c:tx>
          <c:spPr>
            <a:ln w="28575" cap="rnd">
              <a:solidFill>
                <a:schemeClr val="accent4"/>
              </a:solidFill>
              <a:round/>
            </a:ln>
            <a:effectLst/>
          </c:spPr>
          <c:marker>
            <c:symbol val="none"/>
          </c:marker>
          <c:val>
            <c:numRef>
              <c:f>'SWOT Intelligence'!$BH$77:$BK$77</c:f>
              <c:numCache>
                <c:formatCode>0</c:formatCode>
                <c:ptCount val="4"/>
                <c:pt idx="0">
                  <c:v>6.4333333333333336</c:v>
                </c:pt>
                <c:pt idx="1">
                  <c:v>4.2166666666666668</c:v>
                </c:pt>
                <c:pt idx="2">
                  <c:v>5.5666666666666664</c:v>
                </c:pt>
                <c:pt idx="3">
                  <c:v>4.666666666666667</c:v>
                </c:pt>
              </c:numCache>
            </c:numRef>
          </c:val>
          <c:extLst>
            <c:ext xmlns:c16="http://schemas.microsoft.com/office/drawing/2014/chart" uri="{C3380CC4-5D6E-409C-BE32-E72D297353CC}">
              <c16:uniqueId val="{00000003-368B-4A7D-904F-87999740D73B}"/>
            </c:ext>
          </c:extLst>
        </c:ser>
        <c:ser>
          <c:idx val="4"/>
          <c:order val="4"/>
          <c:tx>
            <c:strRef>
              <c:f>'SWOT Intelligence'!$BG$78</c:f>
              <c:strCache>
                <c:ptCount val="1"/>
                <c:pt idx="0">
                  <c:v>Healthcare</c:v>
                </c:pt>
              </c:strCache>
            </c:strRef>
          </c:tx>
          <c:spPr>
            <a:ln w="28575" cap="rnd">
              <a:solidFill>
                <a:schemeClr val="accent5"/>
              </a:solidFill>
              <a:round/>
            </a:ln>
            <a:effectLst/>
          </c:spPr>
          <c:marker>
            <c:symbol val="none"/>
          </c:marker>
          <c:val>
            <c:numRef>
              <c:f>'SWOT Intelligence'!$BH$78:$BK$78</c:f>
              <c:numCache>
                <c:formatCode>0</c:formatCode>
                <c:ptCount val="4"/>
                <c:pt idx="0">
                  <c:v>6.3571428571428568</c:v>
                </c:pt>
                <c:pt idx="1">
                  <c:v>4.625</c:v>
                </c:pt>
                <c:pt idx="2">
                  <c:v>5.7857142857142856</c:v>
                </c:pt>
                <c:pt idx="3">
                  <c:v>4.1964285714285712</c:v>
                </c:pt>
              </c:numCache>
            </c:numRef>
          </c:val>
          <c:extLst>
            <c:ext xmlns:c16="http://schemas.microsoft.com/office/drawing/2014/chart" uri="{C3380CC4-5D6E-409C-BE32-E72D297353CC}">
              <c16:uniqueId val="{00000005-368B-4A7D-904F-87999740D73B}"/>
            </c:ext>
          </c:extLst>
        </c:ser>
        <c:dLbls>
          <c:showLegendKey val="0"/>
          <c:showVal val="0"/>
          <c:showCatName val="0"/>
          <c:showSerName val="0"/>
          <c:showPercent val="0"/>
          <c:showBubbleSize val="0"/>
        </c:dLbls>
        <c:axId val="837072384"/>
        <c:axId val="837072800"/>
      </c:radarChart>
      <c:catAx>
        <c:axId val="8370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72800"/>
        <c:crosses val="autoZero"/>
        <c:auto val="1"/>
        <c:lblAlgn val="ctr"/>
        <c:lblOffset val="100"/>
        <c:noMultiLvlLbl val="0"/>
      </c:catAx>
      <c:valAx>
        <c:axId val="837072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72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0" u="none" strike="noStrike" baseline="0"/>
              <a:t>Growth vs Risk Positioning</a:t>
            </a:r>
            <a:endParaRPr lang="en-US" sz="2400" b="1"/>
          </a:p>
        </c:rich>
      </c:tx>
      <c:layout>
        <c:manualLayout>
          <c:xMode val="edge"/>
          <c:yMode val="edge"/>
          <c:x val="0.30672194736719854"/>
          <c:y val="1.01803374054682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46043249018651"/>
          <c:y val="0.12811227457824317"/>
          <c:w val="0.79324971546698242"/>
          <c:h val="0.76834166998758668"/>
        </c:manualLayout>
      </c:layout>
      <c:scatterChart>
        <c:scatterStyle val="lineMarker"/>
        <c:varyColors val="0"/>
        <c:ser>
          <c:idx val="0"/>
          <c:order val="0"/>
          <c:spPr>
            <a:ln w="19050" cap="rnd">
              <a:noFill/>
              <a:round/>
            </a:ln>
            <a:effectLst/>
          </c:spPr>
          <c:marker>
            <c:symbol val="circle"/>
            <c:size val="5"/>
            <c:spPr>
              <a:solidFill>
                <a:schemeClr val="tx1">
                  <a:lumMod val="75000"/>
                  <a:lumOff val="25000"/>
                </a:schemeClr>
              </a:solidFill>
              <a:ln w="9525">
                <a:solidFill>
                  <a:schemeClr val="tx1">
                    <a:lumMod val="50000"/>
                    <a:lumOff val="50000"/>
                  </a:schemeClr>
                </a:solidFill>
              </a:ln>
              <a:effectLst/>
            </c:spPr>
          </c:marker>
          <c:dLbls>
            <c:dLbl>
              <c:idx val="0"/>
              <c:tx>
                <c:rich>
                  <a:bodyPr/>
                  <a:lstStyle/>
                  <a:p>
                    <a:fld id="{E7EDFBE9-52D3-4832-A0CB-481E123BA976}"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161-4555-86DC-43BC3175E9CF}"/>
                </c:ext>
              </c:extLst>
            </c:dLbl>
            <c:dLbl>
              <c:idx val="1"/>
              <c:tx>
                <c:rich>
                  <a:bodyPr/>
                  <a:lstStyle/>
                  <a:p>
                    <a:fld id="{6638E0A5-7D08-4ED7-8DAD-5AE32C825A62}"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161-4555-86DC-43BC3175E9CF}"/>
                </c:ext>
              </c:extLst>
            </c:dLbl>
            <c:dLbl>
              <c:idx val="2"/>
              <c:tx>
                <c:rich>
                  <a:bodyPr/>
                  <a:lstStyle/>
                  <a:p>
                    <a:fld id="{D44338F4-7A14-4CAF-B90B-139F1D3CD496}"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161-4555-86DC-43BC3175E9CF}"/>
                </c:ext>
              </c:extLst>
            </c:dLbl>
            <c:dLbl>
              <c:idx val="3"/>
              <c:tx>
                <c:rich>
                  <a:bodyPr/>
                  <a:lstStyle/>
                  <a:p>
                    <a:fld id="{8AB46AFE-0241-4061-B55E-A97886627AB6}"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161-4555-86DC-43BC3175E9CF}"/>
                </c:ext>
              </c:extLst>
            </c:dLbl>
            <c:dLbl>
              <c:idx val="4"/>
              <c:tx>
                <c:rich>
                  <a:bodyPr/>
                  <a:lstStyle/>
                  <a:p>
                    <a:fld id="{192919F9-FD44-41E9-8B25-A9E3137533B2}"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161-4555-86DC-43BC3175E9CF}"/>
                </c:ext>
              </c:extLst>
            </c:dLbl>
            <c:spPr>
              <a:noFill/>
              <a:ln>
                <a:noFill/>
              </a:ln>
              <a:effectLst/>
            </c:spPr>
            <c:txPr>
              <a:bodyPr rot="0" spcFirstLastPara="1" vertOverflow="ellipsis" vert="horz" wrap="square" lIns="38100" tIns="19050" rIns="38100" bIns="19050" anchor="ctr" anchorCtr="0">
                <a:spAutoFit/>
              </a:bodyPr>
              <a:lstStyle/>
              <a:p>
                <a:pPr algn="l">
                  <a:defRPr sz="1600" b="1"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'Risk &amp; Growth'!$BE$98:$BE$102</c:f>
              <c:numCache>
                <c:formatCode>0.0</c:formatCode>
                <c:ptCount val="5"/>
                <c:pt idx="0">
                  <c:v>12.298245614035087</c:v>
                </c:pt>
                <c:pt idx="1">
                  <c:v>12.142857142857142</c:v>
                </c:pt>
                <c:pt idx="2">
                  <c:v>12.159139784946237</c:v>
                </c:pt>
                <c:pt idx="3">
                  <c:v>12</c:v>
                </c:pt>
                <c:pt idx="4">
                  <c:v>12.215384615384615</c:v>
                </c:pt>
              </c:numCache>
            </c:numRef>
          </c:xVal>
          <c:yVal>
            <c:numRef>
              <c:f>'Risk &amp; Growth'!$BF$98:$BF$102</c:f>
              <c:numCache>
                <c:formatCode>0.0</c:formatCode>
                <c:ptCount val="5"/>
                <c:pt idx="0">
                  <c:v>8.5087719298245617</c:v>
                </c:pt>
                <c:pt idx="1">
                  <c:v>8.8214285714285712</c:v>
                </c:pt>
                <c:pt idx="2">
                  <c:v>8.887096774193548</c:v>
                </c:pt>
                <c:pt idx="3">
                  <c:v>8.8833333333333329</c:v>
                </c:pt>
                <c:pt idx="4">
                  <c:v>8.6769230769230781</c:v>
                </c:pt>
              </c:numCache>
            </c:numRef>
          </c:yVal>
          <c:smooth val="0"/>
          <c:extLst>
            <c:ext xmlns:c15="http://schemas.microsoft.com/office/drawing/2012/chart" uri="{02D57815-91ED-43cb-92C2-25804820EDAC}">
              <c15:datalabelsRange>
                <c15:f>'Risk &amp; Growth'!$AY$98:$AY$102</c15:f>
                <c15:dlblRangeCache>
                  <c:ptCount val="5"/>
                  <c:pt idx="0">
                    <c:v>Finance</c:v>
                  </c:pt>
                  <c:pt idx="1">
                    <c:v>Healthcare</c:v>
                  </c:pt>
                  <c:pt idx="2">
                    <c:v>Manufacturing</c:v>
                  </c:pt>
                  <c:pt idx="3">
                    <c:v>Retail</c:v>
                  </c:pt>
                  <c:pt idx="4">
                    <c:v>Technology</c:v>
                  </c:pt>
                </c15:dlblRangeCache>
              </c15:datalabelsRange>
            </c:ext>
            <c:ext xmlns:c16="http://schemas.microsoft.com/office/drawing/2014/chart" uri="{C3380CC4-5D6E-409C-BE32-E72D297353CC}">
              <c16:uniqueId val="{00000005-9161-4555-86DC-43BC3175E9CF}"/>
            </c:ext>
          </c:extLst>
        </c:ser>
        <c:dLbls>
          <c:showLegendKey val="0"/>
          <c:showVal val="1"/>
          <c:showCatName val="0"/>
          <c:showSerName val="0"/>
          <c:showPercent val="0"/>
          <c:showBubbleSize val="0"/>
        </c:dLbls>
        <c:axId val="792689248"/>
        <c:axId val="792688416"/>
      </c:scatterChart>
      <c:valAx>
        <c:axId val="792689248"/>
        <c:scaling>
          <c:orientation val="minMax"/>
        </c:scaling>
        <c:delete val="1"/>
        <c:axPos val="b"/>
        <c:numFmt formatCode="0.0" sourceLinked="1"/>
        <c:majorTickMark val="none"/>
        <c:minorTickMark val="none"/>
        <c:tickLblPos val="nextTo"/>
        <c:crossAx val="792688416"/>
        <c:crosses val="autoZero"/>
        <c:crossBetween val="midCat"/>
      </c:valAx>
      <c:valAx>
        <c:axId val="792688416"/>
        <c:scaling>
          <c:orientation val="minMax"/>
        </c:scaling>
        <c:delete val="1"/>
        <c:axPos val="l"/>
        <c:numFmt formatCode="0.0" sourceLinked="1"/>
        <c:majorTickMark val="none"/>
        <c:minorTickMark val="none"/>
        <c:tickLblPos val="nextTo"/>
        <c:crossAx val="792689248"/>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Project.xlsx]Risk &amp; Growth!rg w+t</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Risk Analysis (W + T)</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B5CF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B5F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B5CF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4B5F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B5CF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4B5F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percentStacked"/>
        <c:varyColors val="0"/>
        <c:ser>
          <c:idx val="0"/>
          <c:order val="0"/>
          <c:tx>
            <c:strRef>
              <c:f>'Risk &amp; Growth'!$AZ$87</c:f>
              <c:strCache>
                <c:ptCount val="1"/>
                <c:pt idx="0">
                  <c:v>Threat Score</c:v>
                </c:pt>
              </c:strCache>
            </c:strRef>
          </c:tx>
          <c:spPr>
            <a:solidFill>
              <a:srgbClr val="8B5CF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&amp; Growth'!$AY$88:$AY$93</c:f>
              <c:strCache>
                <c:ptCount val="5"/>
                <c:pt idx="0">
                  <c:v>Finance</c:v>
                </c:pt>
                <c:pt idx="1">
                  <c:v>Healthcare</c:v>
                </c:pt>
                <c:pt idx="2">
                  <c:v>Manufacturing</c:v>
                </c:pt>
                <c:pt idx="3">
                  <c:v>Retail</c:v>
                </c:pt>
                <c:pt idx="4">
                  <c:v>Technology</c:v>
                </c:pt>
              </c:strCache>
            </c:strRef>
          </c:cat>
          <c:val>
            <c:numRef>
              <c:f>'Risk &amp; Growth'!$AZ$88:$AZ$93</c:f>
              <c:numCache>
                <c:formatCode>0</c:formatCode>
                <c:ptCount val="5"/>
                <c:pt idx="0">
                  <c:v>4.1754385964912277</c:v>
                </c:pt>
                <c:pt idx="1">
                  <c:v>4.1964285714285712</c:v>
                </c:pt>
                <c:pt idx="2">
                  <c:v>4.306451612903226</c:v>
                </c:pt>
                <c:pt idx="3">
                  <c:v>4.666666666666667</c:v>
                </c:pt>
                <c:pt idx="4">
                  <c:v>4.2615384615384615</c:v>
                </c:pt>
              </c:numCache>
            </c:numRef>
          </c:val>
          <c:extLst>
            <c:ext xmlns:c16="http://schemas.microsoft.com/office/drawing/2014/chart" uri="{C3380CC4-5D6E-409C-BE32-E72D297353CC}">
              <c16:uniqueId val="{00000001-BC8C-4852-BE22-DE0B851E37BB}"/>
            </c:ext>
          </c:extLst>
        </c:ser>
        <c:ser>
          <c:idx val="1"/>
          <c:order val="1"/>
          <c:tx>
            <c:strRef>
              <c:f>'Risk &amp; Growth'!$BA$87</c:f>
              <c:strCache>
                <c:ptCount val="1"/>
                <c:pt idx="0">
                  <c:v>Weakness Score</c:v>
                </c:pt>
              </c:strCache>
            </c:strRef>
          </c:tx>
          <c:spPr>
            <a:solidFill>
              <a:srgbClr val="C4B5FD"/>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&amp; Growth'!$AY$88:$AY$93</c:f>
              <c:strCache>
                <c:ptCount val="5"/>
                <c:pt idx="0">
                  <c:v>Finance</c:v>
                </c:pt>
                <c:pt idx="1">
                  <c:v>Healthcare</c:v>
                </c:pt>
                <c:pt idx="2">
                  <c:v>Manufacturing</c:v>
                </c:pt>
                <c:pt idx="3">
                  <c:v>Retail</c:v>
                </c:pt>
                <c:pt idx="4">
                  <c:v>Technology</c:v>
                </c:pt>
              </c:strCache>
            </c:strRef>
          </c:cat>
          <c:val>
            <c:numRef>
              <c:f>'Risk &amp; Growth'!$BA$88:$BA$93</c:f>
              <c:numCache>
                <c:formatCode>0</c:formatCode>
                <c:ptCount val="5"/>
                <c:pt idx="0">
                  <c:v>4.333333333333333</c:v>
                </c:pt>
                <c:pt idx="1">
                  <c:v>4.625</c:v>
                </c:pt>
                <c:pt idx="2">
                  <c:v>4.580645161290323</c:v>
                </c:pt>
                <c:pt idx="3">
                  <c:v>4.2166666666666668</c:v>
                </c:pt>
                <c:pt idx="4">
                  <c:v>4.4153846153846157</c:v>
                </c:pt>
              </c:numCache>
            </c:numRef>
          </c:val>
          <c:extLst>
            <c:ext xmlns:c16="http://schemas.microsoft.com/office/drawing/2014/chart" uri="{C3380CC4-5D6E-409C-BE32-E72D297353CC}">
              <c16:uniqueId val="{00000002-BC8C-4852-BE22-DE0B851E37BB}"/>
            </c:ext>
          </c:extLst>
        </c:ser>
        <c:dLbls>
          <c:showLegendKey val="0"/>
          <c:showVal val="1"/>
          <c:showCatName val="0"/>
          <c:showSerName val="0"/>
          <c:showPercent val="0"/>
          <c:showBubbleSize val="0"/>
        </c:dLbls>
        <c:gapWidth val="150"/>
        <c:gapDepth val="0"/>
        <c:shape val="cylinder"/>
        <c:axId val="197965616"/>
        <c:axId val="197966032"/>
        <c:axId val="0"/>
      </c:bar3DChart>
      <c:catAx>
        <c:axId val="197965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97966032"/>
        <c:crosses val="autoZero"/>
        <c:auto val="1"/>
        <c:lblAlgn val="ctr"/>
        <c:lblOffset val="100"/>
        <c:noMultiLvlLbl val="0"/>
      </c:catAx>
      <c:valAx>
        <c:axId val="197966032"/>
        <c:scaling>
          <c:orientation val="minMax"/>
        </c:scaling>
        <c:delete val="1"/>
        <c:axPos val="b"/>
        <c:numFmt formatCode="0%" sourceLinked="1"/>
        <c:majorTickMark val="none"/>
        <c:minorTickMark val="none"/>
        <c:tickLblPos val="nextTo"/>
        <c:crossAx val="19796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 Data Project.xlsx]Risk &amp; Growth!rg s+o</c:name>
    <c:fmtId val="4"/>
  </c:pivotSource>
  <c:chart>
    <c:title>
      <c:tx>
        <c:rich>
          <a:bodyPr/>
          <a:lstStyle/>
          <a:p>
            <a:pPr>
              <a:defRPr sz="1800"/>
            </a:pPr>
            <a:r>
              <a:rPr lang="en-US" sz="1800" b="1" i="0" u="none" strike="noStrike" baseline="0"/>
              <a:t>Growth Analysis (S + O)</a:t>
            </a:r>
            <a:endParaRPr lang="en-US" sz="1800"/>
          </a:p>
        </c:rich>
      </c:tx>
      <c:overlay val="0"/>
    </c:title>
    <c:autoTitleDeleted val="0"/>
    <c:pivotFmts>
      <c:pivotFmt>
        <c:idx val="0"/>
        <c:spPr>
          <a:solidFill>
            <a:srgbClr val="8B5CF6"/>
          </a:solidFill>
          <a:ln>
            <a:noFill/>
          </a:ln>
          <a:effectLst/>
          <a:sp3d/>
        </c:spPr>
        <c:marker>
          <c:symbol val="none"/>
        </c:marker>
        <c:dLbl>
          <c:idx val="0"/>
          <c:delete val="1"/>
          <c:extLst>
            <c:ext xmlns:c15="http://schemas.microsoft.com/office/drawing/2012/chart" uri="{CE6537A1-D6FC-4f65-9D91-7224C49458BB}"/>
          </c:extLst>
        </c:dLbl>
      </c:pivotFmt>
      <c:pivotFmt>
        <c:idx val="1"/>
        <c:spPr>
          <a:solidFill>
            <a:srgbClr val="C4B5FD"/>
          </a:solidFill>
          <a:ln>
            <a:noFill/>
          </a:ln>
          <a:effectLst/>
          <a:sp3d/>
        </c:spPr>
        <c:marker>
          <c:symbol val="none"/>
        </c:marker>
        <c:dLbl>
          <c:idx val="0"/>
          <c:delete val="1"/>
          <c:extLst>
            <c:ext xmlns:c15="http://schemas.microsoft.com/office/drawing/2012/chart" uri="{CE6537A1-D6FC-4f65-9D91-7224C49458BB}"/>
          </c:extLst>
        </c:dLbl>
      </c:pivotFmt>
      <c:pivotFmt>
        <c:idx val="2"/>
        <c:spPr>
          <a:solidFill>
            <a:srgbClr val="8B5CF6"/>
          </a:solidFill>
          <a:ln>
            <a:noFill/>
          </a:ln>
          <a:effectLst/>
          <a:sp3d/>
        </c:spPr>
        <c:marker>
          <c:symbol val="none"/>
        </c:marker>
        <c:dLbl>
          <c:idx val="0"/>
          <c:delete val="1"/>
          <c:extLst>
            <c:ext xmlns:c15="http://schemas.microsoft.com/office/drawing/2012/chart" uri="{CE6537A1-D6FC-4f65-9D91-7224C49458BB}"/>
          </c:extLst>
        </c:dLbl>
      </c:pivotFmt>
      <c:pivotFmt>
        <c:idx val="3"/>
        <c:spPr>
          <a:solidFill>
            <a:srgbClr val="C4B5FD"/>
          </a:solidFill>
          <a:ln>
            <a:noFill/>
          </a:ln>
          <a:effectLst/>
          <a:sp3d/>
        </c:spPr>
        <c:marker>
          <c:symbol val="none"/>
        </c:marker>
        <c:dLbl>
          <c:idx val="0"/>
          <c:delete val="1"/>
          <c:extLst>
            <c:ext xmlns:c15="http://schemas.microsoft.com/office/drawing/2012/chart" uri="{CE6537A1-D6FC-4f65-9D91-7224C49458BB}"/>
          </c:extLst>
        </c:dLbl>
      </c:pivotFmt>
      <c:pivotFmt>
        <c:idx val="4"/>
        <c:spPr>
          <a:solidFill>
            <a:srgbClr val="8B5CF6"/>
          </a:solidFill>
          <a:ln>
            <a:noFill/>
          </a:ln>
          <a:effectLst/>
          <a:sp3d/>
        </c:spPr>
        <c:marker>
          <c:symbol val="none"/>
        </c:marker>
        <c:dLbl>
          <c:idx val="0"/>
          <c:delete val="1"/>
          <c:extLst>
            <c:ext xmlns:c15="http://schemas.microsoft.com/office/drawing/2012/chart" uri="{CE6537A1-D6FC-4f65-9D91-7224C49458BB}"/>
          </c:extLst>
        </c:dLbl>
      </c:pivotFmt>
      <c:pivotFmt>
        <c:idx val="5"/>
        <c:spPr>
          <a:solidFill>
            <a:srgbClr val="C4B5FD"/>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8B5CF6"/>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4B5FD"/>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8B5CF6"/>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C4B5FD"/>
          </a:solidFill>
          <a:ln>
            <a:noFill/>
          </a:ln>
          <a:effectLst/>
          <a:sp3d/>
        </c:spPr>
        <c:marker>
          <c:symbol val="none"/>
        </c:marker>
        <c:dLbl>
          <c:idx val="0"/>
          <c:delete val="1"/>
          <c:extLst>
            <c:ext xmlns:c15="http://schemas.microsoft.com/office/drawing/2012/chart" uri="{CE6537A1-D6FC-4f65-9D91-7224C49458BB}"/>
          </c:extLst>
        </c:dLbl>
      </c:pivotFmt>
      <c:pivotFmt>
        <c:idx val="10"/>
        <c:spPr>
          <a:solidFill>
            <a:srgbClr val="8B5CF6"/>
          </a:solidFill>
          <a:ln>
            <a:noFill/>
          </a:ln>
          <a:effectLst/>
          <a:sp3d/>
        </c:spPr>
        <c:marker>
          <c:symbol val="none"/>
        </c:marker>
        <c:dLbl>
          <c:idx val="0"/>
          <c:spPr>
            <a:noFill/>
            <a:ln>
              <a:noFill/>
            </a:ln>
            <a:effectLst/>
          </c:spPr>
          <c:txPr>
            <a:bodyPr wrap="square" lIns="38100" tIns="19050" rIns="38100" bIns="19050" anchor="ctr">
              <a:spAutoFit/>
            </a:bodyPr>
            <a:lstStyle/>
            <a:p>
              <a:pPr>
                <a:defRPr sz="20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C4B5FD"/>
          </a:solidFill>
          <a:ln>
            <a:noFill/>
          </a:ln>
          <a:effectLst/>
          <a:sp3d/>
        </c:spPr>
        <c:marker>
          <c:symbol val="none"/>
        </c:marker>
        <c:dLbl>
          <c:idx val="0"/>
          <c:spPr>
            <a:noFill/>
            <a:ln>
              <a:noFill/>
            </a:ln>
            <a:effectLst/>
          </c:spPr>
          <c:txPr>
            <a:bodyPr wrap="square" lIns="38100" tIns="19050" rIns="38100" bIns="19050" anchor="ctr">
              <a:spAutoFit/>
            </a:bodyPr>
            <a:lstStyle/>
            <a:p>
              <a:pPr>
                <a:defRPr sz="2000" b="1">
                  <a:solidFill>
                    <a:srgbClr val="444444"/>
                  </a:solidFill>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'Risk &amp; Growth'!$AZ$77</c:f>
              <c:strCache>
                <c:ptCount val="1"/>
                <c:pt idx="0">
                  <c:v>Strength Score</c:v>
                </c:pt>
              </c:strCache>
            </c:strRef>
          </c:tx>
          <c:spPr>
            <a:solidFill>
              <a:srgbClr val="8B5CF6"/>
            </a:solidFill>
            <a:ln>
              <a:noFill/>
            </a:ln>
            <a:effectLst/>
            <a:sp3d/>
          </c:spPr>
          <c:invertIfNegative val="0"/>
          <c:dLbls>
            <c:spPr>
              <a:noFill/>
              <a:ln>
                <a:noFill/>
              </a:ln>
              <a:effectLst/>
            </c:spPr>
            <c:txPr>
              <a:bodyPr wrap="square" lIns="38100" tIns="19050" rIns="38100" bIns="19050" anchor="ctr">
                <a:spAutoFit/>
              </a:bodyPr>
              <a:lstStyle/>
              <a:p>
                <a:pPr>
                  <a:defRPr sz="2000"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'Risk &amp; Growth'!$AY$78:$AY$83</c:f>
              <c:strCache>
                <c:ptCount val="5"/>
                <c:pt idx="0">
                  <c:v>Finance</c:v>
                </c:pt>
                <c:pt idx="1">
                  <c:v>Healthcare</c:v>
                </c:pt>
                <c:pt idx="2">
                  <c:v>Manufacturing</c:v>
                </c:pt>
                <c:pt idx="3">
                  <c:v>Retail</c:v>
                </c:pt>
                <c:pt idx="4">
                  <c:v>Technology</c:v>
                </c:pt>
              </c:strCache>
            </c:strRef>
          </c:cat>
          <c:val>
            <c:numRef>
              <c:f>'Risk &amp; Growth'!$AZ$78:$AZ$83</c:f>
              <c:numCache>
                <c:formatCode>0</c:formatCode>
                <c:ptCount val="5"/>
                <c:pt idx="0">
                  <c:v>6.5614035087719298</c:v>
                </c:pt>
                <c:pt idx="1">
                  <c:v>6.3571428571428568</c:v>
                </c:pt>
                <c:pt idx="2">
                  <c:v>6.532258064516129</c:v>
                </c:pt>
                <c:pt idx="3">
                  <c:v>6.4333333333333336</c:v>
                </c:pt>
                <c:pt idx="4">
                  <c:v>6.6</c:v>
                </c:pt>
              </c:numCache>
            </c:numRef>
          </c:val>
          <c:extLst>
            <c:ext xmlns:c16="http://schemas.microsoft.com/office/drawing/2014/chart" uri="{C3380CC4-5D6E-409C-BE32-E72D297353CC}">
              <c16:uniqueId val="{00000001-7441-4943-A868-AD13C4E97BB5}"/>
            </c:ext>
          </c:extLst>
        </c:ser>
        <c:ser>
          <c:idx val="1"/>
          <c:order val="1"/>
          <c:tx>
            <c:strRef>
              <c:f>'Risk &amp; Growth'!$BA$77</c:f>
              <c:strCache>
                <c:ptCount val="1"/>
                <c:pt idx="0">
                  <c:v>Opportunity Score</c:v>
                </c:pt>
              </c:strCache>
            </c:strRef>
          </c:tx>
          <c:spPr>
            <a:solidFill>
              <a:srgbClr val="C4B5FD"/>
            </a:solidFill>
            <a:ln>
              <a:noFill/>
            </a:ln>
            <a:effectLst/>
            <a:sp3d/>
          </c:spPr>
          <c:invertIfNegative val="0"/>
          <c:dLbls>
            <c:spPr>
              <a:noFill/>
              <a:ln>
                <a:noFill/>
              </a:ln>
              <a:effectLst/>
            </c:spPr>
            <c:txPr>
              <a:bodyPr wrap="square" lIns="38100" tIns="19050" rIns="38100" bIns="19050" anchor="ctr">
                <a:spAutoFit/>
              </a:bodyPr>
              <a:lstStyle/>
              <a:p>
                <a:pPr>
                  <a:defRPr sz="2000" b="1">
                    <a:solidFill>
                      <a:srgbClr val="444444"/>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'Risk &amp; Growth'!$AY$78:$AY$83</c:f>
              <c:strCache>
                <c:ptCount val="5"/>
                <c:pt idx="0">
                  <c:v>Finance</c:v>
                </c:pt>
                <c:pt idx="1">
                  <c:v>Healthcare</c:v>
                </c:pt>
                <c:pt idx="2">
                  <c:v>Manufacturing</c:v>
                </c:pt>
                <c:pt idx="3">
                  <c:v>Retail</c:v>
                </c:pt>
                <c:pt idx="4">
                  <c:v>Technology</c:v>
                </c:pt>
              </c:strCache>
            </c:strRef>
          </c:cat>
          <c:val>
            <c:numRef>
              <c:f>'Risk &amp; Growth'!$BA$78:$BA$83</c:f>
              <c:numCache>
                <c:formatCode>0</c:formatCode>
                <c:ptCount val="5"/>
                <c:pt idx="0">
                  <c:v>5.7368421052631575</c:v>
                </c:pt>
                <c:pt idx="1">
                  <c:v>5.7857142857142856</c:v>
                </c:pt>
                <c:pt idx="2">
                  <c:v>5.725806451612903</c:v>
                </c:pt>
                <c:pt idx="3">
                  <c:v>5.5666666666666664</c:v>
                </c:pt>
                <c:pt idx="4">
                  <c:v>5.615384615384615</c:v>
                </c:pt>
              </c:numCache>
            </c:numRef>
          </c:val>
          <c:extLst>
            <c:ext xmlns:c16="http://schemas.microsoft.com/office/drawing/2014/chart" uri="{C3380CC4-5D6E-409C-BE32-E72D297353CC}">
              <c16:uniqueId val="{00000002-7441-4943-A868-AD13C4E97BB5}"/>
            </c:ext>
          </c:extLst>
        </c:ser>
        <c:dLbls>
          <c:showLegendKey val="0"/>
          <c:showVal val="0"/>
          <c:showCatName val="0"/>
          <c:showSerName val="0"/>
          <c:showPercent val="0"/>
          <c:showBubbleSize val="0"/>
        </c:dLbls>
        <c:gapWidth val="150"/>
        <c:gapDepth val="0"/>
        <c:shape val="cylinder"/>
        <c:axId val="134787040"/>
        <c:axId val="134784960"/>
        <c:axId val="0"/>
      </c:bar3DChart>
      <c:catAx>
        <c:axId val="134787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34784960"/>
        <c:crosses val="autoZero"/>
        <c:auto val="1"/>
        <c:lblAlgn val="ctr"/>
        <c:lblOffset val="100"/>
        <c:noMultiLvlLbl val="0"/>
      </c:catAx>
      <c:valAx>
        <c:axId val="134784960"/>
        <c:scaling>
          <c:orientation val="minMax"/>
        </c:scaling>
        <c:delete val="1"/>
        <c:axPos val="b"/>
        <c:numFmt formatCode="0%" sourceLinked="1"/>
        <c:majorTickMark val="none"/>
        <c:minorTickMark val="none"/>
        <c:tickLblPos val="nextTo"/>
        <c:crossAx val="134787040"/>
        <c:crosses val="autoZero"/>
        <c:crossBetween val="between"/>
      </c:valAx>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Industry Companies'!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Risk &amp; Growth'!A1"/><Relationship Id="rId2" Type="http://schemas.openxmlformats.org/officeDocument/2006/relationships/image" Target="../media/image2.svg"/><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SWOT Intelligence'!A1"/><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1.emf"/><Relationship Id="rId13" Type="http://schemas.openxmlformats.org/officeDocument/2006/relationships/chart" Target="../charts/chart9.xml"/><Relationship Id="rId3" Type="http://schemas.openxmlformats.org/officeDocument/2006/relationships/hyperlink" Target="#'Executive Dashboard'!A1"/><Relationship Id="rId7" Type="http://schemas.openxmlformats.org/officeDocument/2006/relationships/chart" Target="../charts/chart4.xml"/><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Industry Comparison'!A1"/><Relationship Id="rId11" Type="http://schemas.openxmlformats.org/officeDocument/2006/relationships/chart" Target="../charts/chart7.xml"/><Relationship Id="rId5" Type="http://schemas.openxmlformats.org/officeDocument/2006/relationships/hyperlink" Target="#'Risk &amp; Growth'!A1"/><Relationship Id="rId10" Type="http://schemas.openxmlformats.org/officeDocument/2006/relationships/chart" Target="../charts/chart6.xml"/><Relationship Id="rId4" Type="http://schemas.openxmlformats.org/officeDocument/2006/relationships/hyperlink" Target="#'SWOT Intelligence'!A1"/><Relationship Id="rId9"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hyperlink" Target="#'Executive Dashboard'!A1"/><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Industry Companies'!A1"/><Relationship Id="rId11" Type="http://schemas.openxmlformats.org/officeDocument/2006/relationships/chart" Target="../charts/chart14.xml"/><Relationship Id="rId5" Type="http://schemas.openxmlformats.org/officeDocument/2006/relationships/hyperlink" Target="#'Risk &amp; Growth'!A1"/><Relationship Id="rId15" Type="http://schemas.openxmlformats.org/officeDocument/2006/relationships/chart" Target="../charts/chart18.xml"/><Relationship Id="rId10" Type="http://schemas.openxmlformats.org/officeDocument/2006/relationships/chart" Target="../charts/chart13.xml"/><Relationship Id="rId4" Type="http://schemas.openxmlformats.org/officeDocument/2006/relationships/hyperlink" Target="#'SWOT Intelligence'!A1"/><Relationship Id="rId9" Type="http://schemas.openxmlformats.org/officeDocument/2006/relationships/chart" Target="../charts/chart12.xml"/><Relationship Id="rId1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hyperlink" Target="#'Executive Dashboard'!A1"/><Relationship Id="rId7" Type="http://schemas.openxmlformats.org/officeDocument/2006/relationships/chart" Target="../charts/chart1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Industry Companies'!A1"/><Relationship Id="rId5" Type="http://schemas.openxmlformats.org/officeDocument/2006/relationships/hyperlink" Target="#'Risk &amp; Growth'!A1"/><Relationship Id="rId4" Type="http://schemas.openxmlformats.org/officeDocument/2006/relationships/hyperlink" Target="#'SWOT Intelligence'!A1"/><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23</xdr:col>
      <xdr:colOff>396240</xdr:colOff>
      <xdr:row>18</xdr:row>
      <xdr:rowOff>137160</xdr:rowOff>
    </xdr:from>
    <xdr:to>
      <xdr:col>33</xdr:col>
      <xdr:colOff>396240</xdr:colOff>
      <xdr:row>47</xdr:row>
      <xdr:rowOff>137160</xdr:rowOff>
    </xdr:to>
    <xdr:sp macro="" textlink="">
      <xdr:nvSpPr>
        <xdr:cNvPr id="54" name="Rectangle: Rounded Corners 53">
          <a:extLst>
            <a:ext uri="{FF2B5EF4-FFF2-40B4-BE49-F238E27FC236}">
              <a16:creationId xmlns:a16="http://schemas.microsoft.com/office/drawing/2014/main" id="{A7064E81-9BB5-4D84-8322-58721CA2FF2B}"/>
            </a:ext>
          </a:extLst>
        </xdr:cNvPr>
        <xdr:cNvSpPr/>
      </xdr:nvSpPr>
      <xdr:spPr>
        <a:xfrm>
          <a:off x="14417040" y="3429000"/>
          <a:ext cx="6096000" cy="5303520"/>
        </a:xfrm>
        <a:prstGeom prst="roundRect">
          <a:avLst/>
        </a:prstGeom>
        <a:solidFill>
          <a:schemeClr val="bg1">
            <a:alpha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34</xdr:col>
      <xdr:colOff>289560</xdr:colOff>
      <xdr:row>18</xdr:row>
      <xdr:rowOff>15240</xdr:rowOff>
    </xdr:from>
    <xdr:to>
      <xdr:col>46</xdr:col>
      <xdr:colOff>548640</xdr:colOff>
      <xdr:row>47</xdr:row>
      <xdr:rowOff>15240</xdr:rowOff>
    </xdr:to>
    <xdr:sp macro="" textlink="">
      <xdr:nvSpPr>
        <xdr:cNvPr id="55" name="Rectangle: Rounded Corners 54">
          <a:extLst>
            <a:ext uri="{FF2B5EF4-FFF2-40B4-BE49-F238E27FC236}">
              <a16:creationId xmlns:a16="http://schemas.microsoft.com/office/drawing/2014/main" id="{1FE15631-2BB3-4980-9F74-A72E4641E6A7}"/>
            </a:ext>
          </a:extLst>
        </xdr:cNvPr>
        <xdr:cNvSpPr/>
      </xdr:nvSpPr>
      <xdr:spPr>
        <a:xfrm>
          <a:off x="21015960" y="3307080"/>
          <a:ext cx="7574280" cy="5303520"/>
        </a:xfrm>
        <a:prstGeom prst="roundRect">
          <a:avLst/>
        </a:prstGeom>
        <a:solidFill>
          <a:schemeClr val="bg1">
            <a:alpha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472440</xdr:colOff>
      <xdr:row>18</xdr:row>
      <xdr:rowOff>152400</xdr:rowOff>
    </xdr:from>
    <xdr:to>
      <xdr:col>23</xdr:col>
      <xdr:colOff>76200</xdr:colOff>
      <xdr:row>47</xdr:row>
      <xdr:rowOff>152400</xdr:rowOff>
    </xdr:to>
    <xdr:sp macro="" textlink="">
      <xdr:nvSpPr>
        <xdr:cNvPr id="20" name="Rectangle: Rounded Corners 19">
          <a:extLst>
            <a:ext uri="{FF2B5EF4-FFF2-40B4-BE49-F238E27FC236}">
              <a16:creationId xmlns:a16="http://schemas.microsoft.com/office/drawing/2014/main" id="{0FE34AD3-4BF5-46BA-909A-5D184FF804ED}"/>
            </a:ext>
          </a:extLst>
        </xdr:cNvPr>
        <xdr:cNvSpPr/>
      </xdr:nvSpPr>
      <xdr:spPr>
        <a:xfrm>
          <a:off x="5958840" y="3444240"/>
          <a:ext cx="8138160" cy="5303520"/>
        </a:xfrm>
        <a:prstGeom prst="roundRect">
          <a:avLst/>
        </a:prstGeom>
        <a:solidFill>
          <a:schemeClr val="bg1">
            <a:alpha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129542</xdr:colOff>
      <xdr:row>0</xdr:row>
      <xdr:rowOff>45720</xdr:rowOff>
    </xdr:from>
    <xdr:to>
      <xdr:col>16</xdr:col>
      <xdr:colOff>152400</xdr:colOff>
      <xdr:row>6</xdr:row>
      <xdr:rowOff>91440</xdr:rowOff>
    </xdr:to>
    <xdr:grpSp>
      <xdr:nvGrpSpPr>
        <xdr:cNvPr id="8" name="Group 7">
          <a:extLst>
            <a:ext uri="{FF2B5EF4-FFF2-40B4-BE49-F238E27FC236}">
              <a16:creationId xmlns:a16="http://schemas.microsoft.com/office/drawing/2014/main" id="{5075375E-3ED7-4985-A112-76FF36D2FDE4}"/>
            </a:ext>
          </a:extLst>
        </xdr:cNvPr>
        <xdr:cNvGrpSpPr/>
      </xdr:nvGrpSpPr>
      <xdr:grpSpPr>
        <a:xfrm>
          <a:off x="129542" y="45720"/>
          <a:ext cx="9776458" cy="1143000"/>
          <a:chOff x="129541" y="0"/>
          <a:chExt cx="6149339" cy="1098560"/>
        </a:xfrm>
      </xdr:grpSpPr>
      <xdr:sp macro="" textlink="">
        <xdr:nvSpPr>
          <xdr:cNvPr id="4097" name="Text Box 1">
            <a:extLst>
              <a:ext uri="{FF2B5EF4-FFF2-40B4-BE49-F238E27FC236}">
                <a16:creationId xmlns:a16="http://schemas.microsoft.com/office/drawing/2014/main" id="{0A840FB1-9251-4F4F-AAF5-E0CF7FE40C66}"/>
              </a:ext>
            </a:extLst>
          </xdr:cNvPr>
          <xdr:cNvSpPr txBox="1">
            <a:spLocks noChangeArrowheads="1"/>
          </xdr:cNvSpPr>
        </xdr:nvSpPr>
        <xdr:spPr bwMode="auto">
          <a:xfrm>
            <a:off x="960120" y="0"/>
            <a:ext cx="5318760" cy="54864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4000" b="1" i="0" u="none" strike="noStrike" baseline="0">
                <a:solidFill>
                  <a:schemeClr val="bg1"/>
                </a:solidFill>
                <a:latin typeface="Calibri"/>
                <a:ea typeface="Calibri"/>
                <a:cs typeface="Calibri"/>
              </a:rPr>
              <a:t>Business Performance Dashboard</a:t>
            </a:r>
          </a:p>
        </xdr:txBody>
      </xdr:sp>
      <xdr:sp macro="" textlink="">
        <xdr:nvSpPr>
          <xdr:cNvPr id="5" name="TextBox 4">
            <a:extLst>
              <a:ext uri="{FF2B5EF4-FFF2-40B4-BE49-F238E27FC236}">
                <a16:creationId xmlns:a16="http://schemas.microsoft.com/office/drawing/2014/main" id="{1B547B2D-1233-47C8-A195-0836634A8B90}"/>
              </a:ext>
            </a:extLst>
          </xdr:cNvPr>
          <xdr:cNvSpPr txBox="1"/>
        </xdr:nvSpPr>
        <xdr:spPr>
          <a:xfrm>
            <a:off x="937260" y="611294"/>
            <a:ext cx="3648160" cy="449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solidFill>
              </a:rPr>
              <a:t>SWOT-Based Industry Performance Analysis</a:t>
            </a:r>
          </a:p>
        </xdr:txBody>
      </xdr:sp>
      <xdr:pic>
        <xdr:nvPicPr>
          <xdr:cNvPr id="7" name="Graphic 6" descr="Brain in head with solid fill">
            <a:extLst>
              <a:ext uri="{FF2B5EF4-FFF2-40B4-BE49-F238E27FC236}">
                <a16:creationId xmlns:a16="http://schemas.microsoft.com/office/drawing/2014/main" id="{C923054B-9BEE-465D-8FA6-B51341EC2E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9541" y="68580"/>
            <a:ext cx="742904" cy="1029980"/>
          </a:xfrm>
          <a:prstGeom prst="rect">
            <a:avLst/>
          </a:prstGeom>
        </xdr:spPr>
      </xdr:pic>
    </xdr:grpSp>
    <xdr:clientData/>
  </xdr:twoCellAnchor>
  <xdr:oneCellAnchor>
    <xdr:from>
      <xdr:col>21</xdr:col>
      <xdr:colOff>533400</xdr:colOff>
      <xdr:row>1</xdr:row>
      <xdr:rowOff>91440</xdr:rowOff>
    </xdr:from>
    <xdr:ext cx="3799475" cy="656421"/>
    <xdr:sp macro="" textlink="">
      <xdr:nvSpPr>
        <xdr:cNvPr id="28" name="TextBox 27">
          <a:extLst>
            <a:ext uri="{FF2B5EF4-FFF2-40B4-BE49-F238E27FC236}">
              <a16:creationId xmlns:a16="http://schemas.microsoft.com/office/drawing/2014/main" id="{8B447556-4330-4B5D-AF80-99AC983521B8}"/>
            </a:ext>
          </a:extLst>
        </xdr:cNvPr>
        <xdr:cNvSpPr txBox="1"/>
      </xdr:nvSpPr>
      <xdr:spPr>
        <a:xfrm>
          <a:off x="13335000" y="274320"/>
          <a:ext cx="3799475" cy="656421"/>
        </a:xfrm>
        <a:prstGeom prst="roundRect">
          <a:avLst/>
        </a:prstGeom>
        <a:solidFill>
          <a:srgbClr val="8B5CF6"/>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u="sng">
              <a:solidFill>
                <a:srgbClr val="E9D5FF"/>
              </a:solidFill>
            </a:rPr>
            <a:t>Executive Dashboard</a:t>
          </a:r>
        </a:p>
      </xdr:txBody>
    </xdr:sp>
    <xdr:clientData/>
  </xdr:oneCellAnchor>
  <xdr:twoCellAnchor>
    <xdr:from>
      <xdr:col>9</xdr:col>
      <xdr:colOff>518160</xdr:colOff>
      <xdr:row>8</xdr:row>
      <xdr:rowOff>0</xdr:rowOff>
    </xdr:from>
    <xdr:to>
      <xdr:col>46</xdr:col>
      <xdr:colOff>45719</xdr:colOff>
      <xdr:row>16</xdr:row>
      <xdr:rowOff>106680</xdr:rowOff>
    </xdr:to>
    <xdr:grpSp>
      <xdr:nvGrpSpPr>
        <xdr:cNvPr id="26" name="Group 25">
          <a:extLst>
            <a:ext uri="{FF2B5EF4-FFF2-40B4-BE49-F238E27FC236}">
              <a16:creationId xmlns:a16="http://schemas.microsoft.com/office/drawing/2014/main" id="{26C7C9D3-F626-4D4F-B48B-AD4CEE764E4C}"/>
            </a:ext>
          </a:extLst>
        </xdr:cNvPr>
        <xdr:cNvGrpSpPr/>
      </xdr:nvGrpSpPr>
      <xdr:grpSpPr>
        <a:xfrm>
          <a:off x="6004560" y="1463040"/>
          <a:ext cx="22082759" cy="1569720"/>
          <a:chOff x="5897880" y="1447800"/>
          <a:chExt cx="22082759" cy="1752600"/>
        </a:xfrm>
      </xdr:grpSpPr>
      <xdr:grpSp>
        <xdr:nvGrpSpPr>
          <xdr:cNvPr id="10" name="Group 9">
            <a:extLst>
              <a:ext uri="{FF2B5EF4-FFF2-40B4-BE49-F238E27FC236}">
                <a16:creationId xmlns:a16="http://schemas.microsoft.com/office/drawing/2014/main" id="{3757AC79-7E0B-450A-9516-57537544E269}"/>
              </a:ext>
            </a:extLst>
          </xdr:cNvPr>
          <xdr:cNvGrpSpPr/>
        </xdr:nvGrpSpPr>
        <xdr:grpSpPr>
          <a:xfrm>
            <a:off x="5897880" y="1447800"/>
            <a:ext cx="22067520" cy="1752600"/>
            <a:chOff x="5897880" y="1447800"/>
            <a:chExt cx="22067520" cy="1752600"/>
          </a:xfrm>
        </xdr:grpSpPr>
        <xdr:sp macro="" textlink="">
          <xdr:nvSpPr>
            <xdr:cNvPr id="9" name="Rectangle: Rounded Corners 8">
              <a:extLst>
                <a:ext uri="{FF2B5EF4-FFF2-40B4-BE49-F238E27FC236}">
                  <a16:creationId xmlns:a16="http://schemas.microsoft.com/office/drawing/2014/main" id="{D26532C7-C2C7-4F75-9333-42CE1F89F023}"/>
                </a:ext>
              </a:extLst>
            </xdr:cNvPr>
            <xdr:cNvSpPr/>
          </xdr:nvSpPr>
          <xdr:spPr>
            <a:xfrm>
              <a:off x="5897880" y="1447800"/>
              <a:ext cx="4465320" cy="1752600"/>
            </a:xfrm>
            <a:prstGeom prst="roundRect">
              <a:avLst/>
            </a:prstGeom>
            <a:noFill/>
            <a:ln>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25C70A9B-25EE-4207-B7B4-04A89D55EE4C}"/>
                </a:ext>
              </a:extLst>
            </xdr:cNvPr>
            <xdr:cNvSpPr/>
          </xdr:nvSpPr>
          <xdr:spPr>
            <a:xfrm>
              <a:off x="11795760" y="1447800"/>
              <a:ext cx="4465320" cy="1752600"/>
            </a:xfrm>
            <a:prstGeom prst="roundRect">
              <a:avLst/>
            </a:prstGeom>
            <a:noFill/>
            <a:ln>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2A6BF044-4748-4098-AEB3-3C05DA90C461}"/>
                </a:ext>
              </a:extLst>
            </xdr:cNvPr>
            <xdr:cNvSpPr/>
          </xdr:nvSpPr>
          <xdr:spPr>
            <a:xfrm>
              <a:off x="17846040" y="1447800"/>
              <a:ext cx="4465320" cy="1752600"/>
            </a:xfrm>
            <a:prstGeom prst="roundRect">
              <a:avLst/>
            </a:prstGeom>
            <a:noFill/>
            <a:ln>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714C6C6D-0EAC-485E-B3D9-D3AFF039F571}"/>
                </a:ext>
              </a:extLst>
            </xdr:cNvPr>
            <xdr:cNvSpPr/>
          </xdr:nvSpPr>
          <xdr:spPr>
            <a:xfrm>
              <a:off x="23500080" y="1447800"/>
              <a:ext cx="4465320" cy="1752600"/>
            </a:xfrm>
            <a:prstGeom prst="roundRect">
              <a:avLst/>
            </a:prstGeom>
            <a:noFill/>
            <a:ln>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TextBox 13">
            <a:extLst>
              <a:ext uri="{FF2B5EF4-FFF2-40B4-BE49-F238E27FC236}">
                <a16:creationId xmlns:a16="http://schemas.microsoft.com/office/drawing/2014/main" id="{70E25C53-365B-45F2-9246-BFD4D0B69F9E}"/>
              </a:ext>
            </a:extLst>
          </xdr:cNvPr>
          <xdr:cNvSpPr txBox="1"/>
        </xdr:nvSpPr>
        <xdr:spPr>
          <a:xfrm>
            <a:off x="6873240" y="1524000"/>
            <a:ext cx="338862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8B5CF6"/>
                </a:solidFill>
              </a:rPr>
              <a:t>Total Companies</a:t>
            </a:r>
          </a:p>
        </xdr:txBody>
      </xdr:sp>
      <xdr:pic>
        <xdr:nvPicPr>
          <xdr:cNvPr id="16" name="Graphic 15" descr="City with solid fill">
            <a:extLst>
              <a:ext uri="{FF2B5EF4-FFF2-40B4-BE49-F238E27FC236}">
                <a16:creationId xmlns:a16="http://schemas.microsoft.com/office/drawing/2014/main" id="{413C6F42-1DE5-49D5-BE17-DBDFBD6478D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141720" y="1524000"/>
            <a:ext cx="731520" cy="731520"/>
          </a:xfrm>
          <a:prstGeom prst="rect">
            <a:avLst/>
          </a:prstGeom>
        </xdr:spPr>
      </xdr:pic>
      <xdr:sp macro="" textlink="">
        <xdr:nvSpPr>
          <xdr:cNvPr id="18" name="TextBox 17">
            <a:extLst>
              <a:ext uri="{FF2B5EF4-FFF2-40B4-BE49-F238E27FC236}">
                <a16:creationId xmlns:a16="http://schemas.microsoft.com/office/drawing/2014/main" id="{BEC50423-DCFA-40DD-8372-90563D802053}"/>
              </a:ext>
            </a:extLst>
          </xdr:cNvPr>
          <xdr:cNvSpPr txBox="1"/>
        </xdr:nvSpPr>
        <xdr:spPr>
          <a:xfrm>
            <a:off x="13167360" y="1524000"/>
            <a:ext cx="267740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8B5CF6"/>
                </a:solidFill>
              </a:rPr>
              <a:t>Avg Revenue</a:t>
            </a:r>
          </a:p>
        </xdr:txBody>
      </xdr:sp>
      <xdr:pic>
        <xdr:nvPicPr>
          <xdr:cNvPr id="19" name="Graphic 18" descr="Money with solid fill">
            <a:extLst>
              <a:ext uri="{FF2B5EF4-FFF2-40B4-BE49-F238E27FC236}">
                <a16:creationId xmlns:a16="http://schemas.microsoft.com/office/drawing/2014/main" id="{98EB9770-745E-490E-A87F-7FCB673BD9E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268200" y="1524000"/>
            <a:ext cx="730800" cy="730800"/>
          </a:xfrm>
          <a:prstGeom prst="rect">
            <a:avLst/>
          </a:prstGeom>
        </xdr:spPr>
      </xdr:pic>
      <xdr:sp macro="" textlink="">
        <xdr:nvSpPr>
          <xdr:cNvPr id="22" name="TextBox 21">
            <a:extLst>
              <a:ext uri="{FF2B5EF4-FFF2-40B4-BE49-F238E27FC236}">
                <a16:creationId xmlns:a16="http://schemas.microsoft.com/office/drawing/2014/main" id="{D258F3EF-F2A8-4F79-84FB-A14C021E9D31}"/>
              </a:ext>
            </a:extLst>
          </xdr:cNvPr>
          <xdr:cNvSpPr txBox="1"/>
        </xdr:nvSpPr>
        <xdr:spPr>
          <a:xfrm>
            <a:off x="18882360" y="1524000"/>
            <a:ext cx="3278077"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8B5CF6"/>
                </a:solidFill>
              </a:rPr>
              <a:t>Avg Profitability</a:t>
            </a:r>
          </a:p>
        </xdr:txBody>
      </xdr:sp>
      <xdr:pic>
        <xdr:nvPicPr>
          <xdr:cNvPr id="21" name="Graphic 20" descr="Upward trend with solid fill">
            <a:extLst>
              <a:ext uri="{FF2B5EF4-FFF2-40B4-BE49-F238E27FC236}">
                <a16:creationId xmlns:a16="http://schemas.microsoft.com/office/drawing/2014/main" id="{3386B1A6-6F95-418A-A2C8-7950C79D971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8074640" y="1524000"/>
            <a:ext cx="730800" cy="730800"/>
          </a:xfrm>
          <a:prstGeom prst="rect">
            <a:avLst/>
          </a:prstGeom>
        </xdr:spPr>
      </xdr:pic>
      <xdr:sp macro="" textlink="">
        <xdr:nvSpPr>
          <xdr:cNvPr id="25" name="TextBox 24">
            <a:extLst>
              <a:ext uri="{FF2B5EF4-FFF2-40B4-BE49-F238E27FC236}">
                <a16:creationId xmlns:a16="http://schemas.microsoft.com/office/drawing/2014/main" id="{C54FCC5C-6FC9-4510-A82A-11177B37272A}"/>
              </a:ext>
            </a:extLst>
          </xdr:cNvPr>
          <xdr:cNvSpPr txBox="1"/>
        </xdr:nvSpPr>
        <xdr:spPr>
          <a:xfrm>
            <a:off x="24292560" y="1524000"/>
            <a:ext cx="368807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600" b="1">
                <a:solidFill>
                  <a:srgbClr val="8B5CF6"/>
                </a:solidFill>
              </a:rPr>
              <a:t>Strong Companies</a:t>
            </a:r>
          </a:p>
        </xdr:txBody>
      </xdr:sp>
      <xdr:pic>
        <xdr:nvPicPr>
          <xdr:cNvPr id="24" name="Graphic 23" descr="Pie chart with solid fill">
            <a:extLst>
              <a:ext uri="{FF2B5EF4-FFF2-40B4-BE49-F238E27FC236}">
                <a16:creationId xmlns:a16="http://schemas.microsoft.com/office/drawing/2014/main" id="{4FE5D7E7-528E-46FC-8AB1-0E3DBF6FBD8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3606760" y="1524000"/>
            <a:ext cx="730800" cy="730800"/>
          </a:xfrm>
          <a:prstGeom prst="rect">
            <a:avLst/>
          </a:prstGeom>
        </xdr:spPr>
      </xdr:pic>
    </xdr:grpSp>
    <xdr:clientData/>
  </xdr:twoCellAnchor>
  <xdr:oneCellAnchor>
    <xdr:from>
      <xdr:col>35</xdr:col>
      <xdr:colOff>289560</xdr:colOff>
      <xdr:row>1</xdr:row>
      <xdr:rowOff>91440</xdr:rowOff>
    </xdr:from>
    <xdr:ext cx="3324735" cy="656421"/>
    <xdr:sp macro="" textlink="">
      <xdr:nvSpPr>
        <xdr:cNvPr id="34" name="TextBox 33">
          <a:hlinkClick xmlns:r="http://schemas.openxmlformats.org/officeDocument/2006/relationships" r:id="rId11"/>
          <a:extLst>
            <a:ext uri="{FF2B5EF4-FFF2-40B4-BE49-F238E27FC236}">
              <a16:creationId xmlns:a16="http://schemas.microsoft.com/office/drawing/2014/main" id="{9528E0E3-78F2-480A-BE7D-C0975FB12AF8}"/>
            </a:ext>
          </a:extLst>
        </xdr:cNvPr>
        <xdr:cNvSpPr txBox="1"/>
      </xdr:nvSpPr>
      <xdr:spPr>
        <a:xfrm>
          <a:off x="21625560" y="274320"/>
          <a:ext cx="3324735"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rgbClr val="E9D5FF"/>
              </a:solidFill>
            </a:rPr>
            <a:t>SWOT</a:t>
          </a:r>
          <a:r>
            <a:rPr lang="en-US" sz="2800" b="1">
              <a:solidFill>
                <a:srgbClr val="5B21B6"/>
              </a:solidFill>
            </a:rPr>
            <a:t> </a:t>
          </a:r>
          <a:r>
            <a:rPr lang="en-US" sz="3200" b="1">
              <a:solidFill>
                <a:srgbClr val="E9D5FF"/>
              </a:solidFill>
            </a:rPr>
            <a:t>Intelligence</a:t>
          </a:r>
          <a:endParaRPr lang="en-US" sz="2800" b="1">
            <a:solidFill>
              <a:srgbClr val="E9D5FF"/>
            </a:solidFill>
          </a:endParaRPr>
        </a:p>
      </xdr:txBody>
    </xdr:sp>
    <xdr:clientData/>
  </xdr:oneCellAnchor>
  <xdr:oneCellAnchor>
    <xdr:from>
      <xdr:col>41</xdr:col>
      <xdr:colOff>259080</xdr:colOff>
      <xdr:row>1</xdr:row>
      <xdr:rowOff>91440</xdr:rowOff>
    </xdr:from>
    <xdr:ext cx="2699318" cy="656421"/>
    <xdr:sp macro="" textlink="">
      <xdr:nvSpPr>
        <xdr:cNvPr id="35" name="TextBox 34">
          <a:hlinkClick xmlns:r="http://schemas.openxmlformats.org/officeDocument/2006/relationships" r:id="rId12"/>
          <a:extLst>
            <a:ext uri="{FF2B5EF4-FFF2-40B4-BE49-F238E27FC236}">
              <a16:creationId xmlns:a16="http://schemas.microsoft.com/office/drawing/2014/main" id="{40263928-180B-4F06-9F5B-D75C95A215E0}"/>
            </a:ext>
          </a:extLst>
        </xdr:cNvPr>
        <xdr:cNvSpPr txBox="1"/>
      </xdr:nvSpPr>
      <xdr:spPr>
        <a:xfrm>
          <a:off x="25252680" y="274320"/>
          <a:ext cx="2699318"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rgbClr val="E9D5FF"/>
              </a:solidFill>
            </a:rPr>
            <a:t>Risk &amp; Growth</a:t>
          </a:r>
        </a:p>
      </xdr:txBody>
    </xdr:sp>
    <xdr:clientData/>
  </xdr:oneCellAnchor>
  <xdr:oneCellAnchor>
    <xdr:from>
      <xdr:col>28</xdr:col>
      <xdr:colOff>502920</xdr:colOff>
      <xdr:row>1</xdr:row>
      <xdr:rowOff>91440</xdr:rowOff>
    </xdr:from>
    <xdr:ext cx="3588422" cy="656421"/>
    <xdr:sp macro="" textlink="">
      <xdr:nvSpPr>
        <xdr:cNvPr id="36" name="TextBox 35">
          <a:hlinkClick xmlns:r="http://schemas.openxmlformats.org/officeDocument/2006/relationships" r:id="rId13"/>
          <a:extLst>
            <a:ext uri="{FF2B5EF4-FFF2-40B4-BE49-F238E27FC236}">
              <a16:creationId xmlns:a16="http://schemas.microsoft.com/office/drawing/2014/main" id="{CC13CDFA-474A-450E-87DF-758FF8A5FEEF}"/>
            </a:ext>
          </a:extLst>
        </xdr:cNvPr>
        <xdr:cNvSpPr txBox="1"/>
      </xdr:nvSpPr>
      <xdr:spPr>
        <a:xfrm>
          <a:off x="17571720" y="274320"/>
          <a:ext cx="3588422"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rgbClr val="E9D5FF"/>
              </a:solidFill>
            </a:rPr>
            <a:t>I</a:t>
          </a:r>
          <a:r>
            <a:rPr lang="az-Latn-AZ" sz="3200" b="1">
              <a:solidFill>
                <a:srgbClr val="E9D5FF"/>
              </a:solidFill>
            </a:rPr>
            <a:t>ndustry</a:t>
          </a:r>
          <a:r>
            <a:rPr lang="az-Latn-AZ" sz="2800" b="1">
              <a:solidFill>
                <a:srgbClr val="E9D5FF"/>
              </a:solidFill>
            </a:rPr>
            <a:t> </a:t>
          </a:r>
          <a:r>
            <a:rPr lang="az-Latn-AZ" sz="3200" b="1">
              <a:solidFill>
                <a:srgbClr val="E9D5FF"/>
              </a:solidFill>
            </a:rPr>
            <a:t>Companies</a:t>
          </a:r>
          <a:endParaRPr lang="en-US" sz="2800" b="1">
            <a:solidFill>
              <a:srgbClr val="E9D5FF"/>
            </a:solidFill>
          </a:endParaRPr>
        </a:p>
      </xdr:txBody>
    </xdr:sp>
    <xdr:clientData/>
  </xdr:oneCellAnchor>
  <xdr:twoCellAnchor>
    <xdr:from>
      <xdr:col>10</xdr:col>
      <xdr:colOff>472440</xdr:colOff>
      <xdr:row>11</xdr:row>
      <xdr:rowOff>38100</xdr:rowOff>
    </xdr:from>
    <xdr:to>
      <xdr:col>16</xdr:col>
      <xdr:colOff>72390</xdr:colOff>
      <xdr:row>15</xdr:row>
      <xdr:rowOff>68580</xdr:rowOff>
    </xdr:to>
    <xdr:sp macro="" textlink="$BF$72">
      <xdr:nvSpPr>
        <xdr:cNvPr id="29" name="Rectangle 28">
          <a:extLst>
            <a:ext uri="{FF2B5EF4-FFF2-40B4-BE49-F238E27FC236}">
              <a16:creationId xmlns:a16="http://schemas.microsoft.com/office/drawing/2014/main" id="{1E60C0FA-3B61-4CC4-9763-AA659B1B8E78}"/>
            </a:ext>
          </a:extLst>
        </xdr:cNvPr>
        <xdr:cNvSpPr/>
      </xdr:nvSpPr>
      <xdr:spPr>
        <a:xfrm>
          <a:off x="6568440" y="2049780"/>
          <a:ext cx="3257550" cy="762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1933E8-B0CB-4C54-ADF1-9E69BE3F1C8D}" type="TxLink">
            <a:rPr lang="en-US" sz="3600" b="1" i="0" u="none" strike="noStrike">
              <a:solidFill>
                <a:srgbClr val="8B5CF6"/>
              </a:solidFill>
              <a:latin typeface="Calibri"/>
              <a:ea typeface="Calibri"/>
              <a:cs typeface="Calibri"/>
            </a:rPr>
            <a:pPr algn="ctr"/>
            <a:t>300</a:t>
          </a:fld>
          <a:endParaRPr lang="en-US" sz="11500" b="1">
            <a:solidFill>
              <a:srgbClr val="8B5CF6"/>
            </a:solidFill>
          </a:endParaRPr>
        </a:p>
      </xdr:txBody>
    </xdr:sp>
    <xdr:clientData/>
  </xdr:twoCellAnchor>
  <xdr:twoCellAnchor>
    <xdr:from>
      <xdr:col>22</xdr:col>
      <xdr:colOff>53340</xdr:colOff>
      <xdr:row>11</xdr:row>
      <xdr:rowOff>38100</xdr:rowOff>
    </xdr:from>
    <xdr:to>
      <xdr:col>27</xdr:col>
      <xdr:colOff>262890</xdr:colOff>
      <xdr:row>15</xdr:row>
      <xdr:rowOff>76200</xdr:rowOff>
    </xdr:to>
    <xdr:sp macro="" textlink="$BF$76">
      <xdr:nvSpPr>
        <xdr:cNvPr id="38" name="Rectangle 37">
          <a:extLst>
            <a:ext uri="{FF2B5EF4-FFF2-40B4-BE49-F238E27FC236}">
              <a16:creationId xmlns:a16="http://schemas.microsoft.com/office/drawing/2014/main" id="{D0AE5059-D53B-406D-8D43-720ADDD940EE}"/>
            </a:ext>
          </a:extLst>
        </xdr:cNvPr>
        <xdr:cNvSpPr/>
      </xdr:nvSpPr>
      <xdr:spPr>
        <a:xfrm>
          <a:off x="13464540" y="2049780"/>
          <a:ext cx="3257550" cy="769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2CF18D1-37A7-4420-9C1F-533A8D60CF8D}" type="TxLink">
            <a:rPr lang="en-US" sz="3600" b="1" i="0" u="none" strike="noStrike">
              <a:solidFill>
                <a:srgbClr val="8B5CF6"/>
              </a:solidFill>
              <a:latin typeface="Calibri"/>
              <a:ea typeface="Calibri"/>
              <a:cs typeface="Calibri"/>
            </a:rPr>
            <a:pPr algn="l"/>
            <a:t>239.3 M</a:t>
          </a:fld>
          <a:endParaRPr lang="en-US" sz="11500" b="1">
            <a:solidFill>
              <a:srgbClr val="8B5CF6"/>
            </a:solidFill>
          </a:endParaRPr>
        </a:p>
      </xdr:txBody>
    </xdr:sp>
    <xdr:clientData/>
  </xdr:twoCellAnchor>
  <xdr:twoCellAnchor>
    <xdr:from>
      <xdr:col>32</xdr:col>
      <xdr:colOff>19050</xdr:colOff>
      <xdr:row>11</xdr:row>
      <xdr:rowOff>38100</xdr:rowOff>
    </xdr:from>
    <xdr:to>
      <xdr:col>37</xdr:col>
      <xdr:colOff>228600</xdr:colOff>
      <xdr:row>15</xdr:row>
      <xdr:rowOff>76200</xdr:rowOff>
    </xdr:to>
    <xdr:sp macro="" textlink="$BF$74">
      <xdr:nvSpPr>
        <xdr:cNvPr id="39" name="Rectangle 38">
          <a:extLst>
            <a:ext uri="{FF2B5EF4-FFF2-40B4-BE49-F238E27FC236}">
              <a16:creationId xmlns:a16="http://schemas.microsoft.com/office/drawing/2014/main" id="{0E6058B3-7D81-46D7-9611-0EFC61C1E6CE}"/>
            </a:ext>
          </a:extLst>
        </xdr:cNvPr>
        <xdr:cNvSpPr/>
      </xdr:nvSpPr>
      <xdr:spPr>
        <a:xfrm>
          <a:off x="19526250" y="2049780"/>
          <a:ext cx="3257550" cy="769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29D7269-844A-4AC1-B7C0-3387F565AF7C}" type="TxLink">
            <a:rPr lang="en-US" sz="3600" b="1" i="0" u="none" strike="noStrike">
              <a:solidFill>
                <a:srgbClr val="8B5CF6"/>
              </a:solidFill>
              <a:latin typeface="Calibri"/>
              <a:ea typeface="Calibri"/>
              <a:cs typeface="Calibri"/>
            </a:rPr>
            <a:pPr algn="l"/>
            <a:t>10.1 %</a:t>
          </a:fld>
          <a:endParaRPr lang="en-US" sz="11500" b="1">
            <a:solidFill>
              <a:srgbClr val="8B5CF6"/>
            </a:solidFill>
          </a:endParaRPr>
        </a:p>
      </xdr:txBody>
    </xdr:sp>
    <xdr:clientData/>
  </xdr:twoCellAnchor>
  <xdr:twoCellAnchor>
    <xdr:from>
      <xdr:col>41</xdr:col>
      <xdr:colOff>529590</xdr:colOff>
      <xdr:row>11</xdr:row>
      <xdr:rowOff>38100</xdr:rowOff>
    </xdr:from>
    <xdr:to>
      <xdr:col>44</xdr:col>
      <xdr:colOff>434340</xdr:colOff>
      <xdr:row>15</xdr:row>
      <xdr:rowOff>76200</xdr:rowOff>
    </xdr:to>
    <xdr:sp macro="" textlink="$BG$73">
      <xdr:nvSpPr>
        <xdr:cNvPr id="40" name="Rectangle 39">
          <a:extLst>
            <a:ext uri="{FF2B5EF4-FFF2-40B4-BE49-F238E27FC236}">
              <a16:creationId xmlns:a16="http://schemas.microsoft.com/office/drawing/2014/main" id="{657ED8E2-C025-446D-991C-54A737384CE7}"/>
            </a:ext>
          </a:extLst>
        </xdr:cNvPr>
        <xdr:cNvSpPr/>
      </xdr:nvSpPr>
      <xdr:spPr>
        <a:xfrm>
          <a:off x="25523190" y="2049780"/>
          <a:ext cx="1733550" cy="769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0AFA3A1-7B19-4836-80DE-EB783667983B}" type="TxLink">
            <a:rPr lang="en-US" sz="3600" b="1" i="0" u="none" strike="noStrike">
              <a:solidFill>
                <a:srgbClr val="8B5CF6"/>
              </a:solidFill>
              <a:latin typeface="Calibri"/>
              <a:ea typeface="Calibri"/>
              <a:cs typeface="Calibri"/>
            </a:rPr>
            <a:pPr algn="l"/>
            <a:t>52 %</a:t>
          </a:fld>
          <a:endParaRPr lang="en-US" sz="85700" b="1" i="0" u="none" strike="noStrike">
            <a:solidFill>
              <a:srgbClr val="8B5CF6"/>
            </a:solidFill>
            <a:latin typeface="Calibri"/>
            <a:ea typeface="Calibri"/>
            <a:cs typeface="Calibri"/>
          </a:endParaRPr>
        </a:p>
      </xdr:txBody>
    </xdr:sp>
    <xdr:clientData/>
  </xdr:twoCellAnchor>
  <xdr:twoCellAnchor>
    <xdr:from>
      <xdr:col>9</xdr:col>
      <xdr:colOff>411480</xdr:colOff>
      <xdr:row>18</xdr:row>
      <xdr:rowOff>121920</xdr:rowOff>
    </xdr:from>
    <xdr:to>
      <xdr:col>22</xdr:col>
      <xdr:colOff>426720</xdr:colOff>
      <xdr:row>47</xdr:row>
      <xdr:rowOff>30480</xdr:rowOff>
    </xdr:to>
    <xdr:graphicFrame macro="">
      <xdr:nvGraphicFramePr>
        <xdr:cNvPr id="30" name="Chart 29">
          <a:extLst>
            <a:ext uri="{FF2B5EF4-FFF2-40B4-BE49-F238E27FC236}">
              <a16:creationId xmlns:a16="http://schemas.microsoft.com/office/drawing/2014/main" id="{8A2CAED3-F24E-41C1-A077-86A0B8A6F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365760</xdr:colOff>
      <xdr:row>18</xdr:row>
      <xdr:rowOff>152400</xdr:rowOff>
    </xdr:from>
    <xdr:to>
      <xdr:col>33</xdr:col>
      <xdr:colOff>457200</xdr:colOff>
      <xdr:row>47</xdr:row>
      <xdr:rowOff>30480</xdr:rowOff>
    </xdr:to>
    <xdr:graphicFrame macro="">
      <xdr:nvGraphicFramePr>
        <xdr:cNvPr id="31" name="Chart 30">
          <a:extLst>
            <a:ext uri="{FF2B5EF4-FFF2-40B4-BE49-F238E27FC236}">
              <a16:creationId xmlns:a16="http://schemas.microsoft.com/office/drawing/2014/main" id="{81D06338-2AD7-4D26-879B-6F208381B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34</xdr:col>
      <xdr:colOff>335280</xdr:colOff>
      <xdr:row>18</xdr:row>
      <xdr:rowOff>45720</xdr:rowOff>
    </xdr:from>
    <xdr:to>
      <xdr:col>46</xdr:col>
      <xdr:colOff>137160</xdr:colOff>
      <xdr:row>47</xdr:row>
      <xdr:rowOff>45720</xdr:rowOff>
    </xdr:to>
    <xdr:graphicFrame macro="">
      <xdr:nvGraphicFramePr>
        <xdr:cNvPr id="32" name="Chart 31">
          <a:extLst>
            <a:ext uri="{FF2B5EF4-FFF2-40B4-BE49-F238E27FC236}">
              <a16:creationId xmlns:a16="http://schemas.microsoft.com/office/drawing/2014/main" id="{E768CFAA-C229-429A-9A26-FF2170ADE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198120</xdr:colOff>
      <xdr:row>7</xdr:row>
      <xdr:rowOff>91440</xdr:rowOff>
    </xdr:from>
    <xdr:to>
      <xdr:col>8</xdr:col>
      <xdr:colOff>563880</xdr:colOff>
      <xdr:row>66</xdr:row>
      <xdr:rowOff>152400</xdr:rowOff>
    </xdr:to>
    <xdr:grpSp>
      <xdr:nvGrpSpPr>
        <xdr:cNvPr id="15" name="Group 14">
          <a:extLst>
            <a:ext uri="{FF2B5EF4-FFF2-40B4-BE49-F238E27FC236}">
              <a16:creationId xmlns:a16="http://schemas.microsoft.com/office/drawing/2014/main" id="{E354FE26-3D56-49FD-B7BF-754AC8CF95AD}"/>
            </a:ext>
          </a:extLst>
        </xdr:cNvPr>
        <xdr:cNvGrpSpPr/>
      </xdr:nvGrpSpPr>
      <xdr:grpSpPr>
        <a:xfrm>
          <a:off x="198120" y="1371600"/>
          <a:ext cx="5242560" cy="10850880"/>
          <a:chOff x="198120" y="1371600"/>
          <a:chExt cx="5242560" cy="10850880"/>
        </a:xfrm>
      </xdr:grpSpPr>
      <mc:AlternateContent xmlns:mc="http://schemas.openxmlformats.org/markup-compatibility/2006" xmlns:a14="http://schemas.microsoft.com/office/drawing/2010/main">
        <mc:Choice Requires="a14">
          <xdr:graphicFrame macro="">
            <xdr:nvGraphicFramePr>
              <xdr:cNvPr id="2" name="industry">
                <a:extLst>
                  <a:ext uri="{FF2B5EF4-FFF2-40B4-BE49-F238E27FC236}">
                    <a16:creationId xmlns:a16="http://schemas.microsoft.com/office/drawing/2014/main" id="{013EA962-EBDA-45A0-B56F-1475FE5DF358}"/>
                  </a:ext>
                </a:extLst>
              </xdr:cNvPr>
              <xdr:cNvGraphicFramePr>
                <a:graphicFrameLocks/>
              </xdr:cNvGraphicFramePr>
            </xdr:nvGraphicFramePr>
            <xdr:xfrm>
              <a:off x="749160" y="1653540"/>
              <a:ext cx="4234320" cy="361950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749160" y="1653540"/>
                <a:ext cx="4234320" cy="361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Market Position">
                <a:extLst>
                  <a:ext uri="{FF2B5EF4-FFF2-40B4-BE49-F238E27FC236}">
                    <a16:creationId xmlns:a16="http://schemas.microsoft.com/office/drawing/2014/main" id="{5DDE59A4-CB61-4A45-A1E8-0022D8EA8489}"/>
                  </a:ext>
                </a:extLst>
              </xdr:cNvPr>
              <xdr:cNvGraphicFramePr/>
            </xdr:nvGraphicFramePr>
            <xdr:xfrm>
              <a:off x="733920" y="9037320"/>
              <a:ext cx="4127640" cy="2773680"/>
            </xdr:xfrm>
            <a:graphic>
              <a:graphicData uri="http://schemas.microsoft.com/office/drawing/2010/slicer">
                <sle:slicer xmlns:sle="http://schemas.microsoft.com/office/drawing/2010/slicer" name="Market Position"/>
              </a:graphicData>
            </a:graphic>
          </xdr:graphicFrame>
        </mc:Choice>
        <mc:Fallback xmlns="">
          <xdr:sp macro="" textlink="">
            <xdr:nvSpPr>
              <xdr:cNvPr id="0" name=""/>
              <xdr:cNvSpPr>
                <a:spLocks noTextEdit="1"/>
              </xdr:cNvSpPr>
            </xdr:nvSpPr>
            <xdr:spPr>
              <a:xfrm>
                <a:off x="733920" y="9037320"/>
                <a:ext cx="4127640" cy="2773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wot_rating">
                <a:extLst>
                  <a:ext uri="{FF2B5EF4-FFF2-40B4-BE49-F238E27FC236}">
                    <a16:creationId xmlns:a16="http://schemas.microsoft.com/office/drawing/2014/main" id="{44F1DDCD-2125-4643-B09E-0F212091423C}"/>
                  </a:ext>
                </a:extLst>
              </xdr:cNvPr>
              <xdr:cNvGraphicFramePr/>
            </xdr:nvGraphicFramePr>
            <xdr:xfrm>
              <a:off x="733920" y="5722620"/>
              <a:ext cx="4219080" cy="2857500"/>
            </xdr:xfrm>
            <a:graphic>
              <a:graphicData uri="http://schemas.microsoft.com/office/drawing/2010/slicer">
                <sle:slicer xmlns:sle="http://schemas.microsoft.com/office/drawing/2010/slicer" name="swot_rating"/>
              </a:graphicData>
            </a:graphic>
          </xdr:graphicFrame>
        </mc:Choice>
        <mc:Fallback xmlns="">
          <xdr:sp macro="" textlink="">
            <xdr:nvSpPr>
              <xdr:cNvPr id="0" name=""/>
              <xdr:cNvSpPr>
                <a:spLocks noTextEdit="1"/>
              </xdr:cNvSpPr>
            </xdr:nvSpPr>
            <xdr:spPr>
              <a:xfrm>
                <a:off x="733920" y="5722620"/>
                <a:ext cx="4219080"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 name="Rectangle: Rounded Corners 5">
            <a:extLst>
              <a:ext uri="{FF2B5EF4-FFF2-40B4-BE49-F238E27FC236}">
                <a16:creationId xmlns:a16="http://schemas.microsoft.com/office/drawing/2014/main" id="{F8D08BBE-1206-4121-8BA9-102FA6FBEA1F}"/>
              </a:ext>
            </a:extLst>
          </xdr:cNvPr>
          <xdr:cNvSpPr/>
        </xdr:nvSpPr>
        <xdr:spPr>
          <a:xfrm>
            <a:off x="198120" y="1371600"/>
            <a:ext cx="5242560" cy="1085088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304800</xdr:colOff>
      <xdr:row>49</xdr:row>
      <xdr:rowOff>121920</xdr:rowOff>
    </xdr:from>
    <xdr:to>
      <xdr:col>22</xdr:col>
      <xdr:colOff>167640</xdr:colOff>
      <xdr:row>65</xdr:row>
      <xdr:rowOff>152400</xdr:rowOff>
    </xdr:to>
    <xdr:grpSp>
      <xdr:nvGrpSpPr>
        <xdr:cNvPr id="52" name="Group 51">
          <a:extLst>
            <a:ext uri="{FF2B5EF4-FFF2-40B4-BE49-F238E27FC236}">
              <a16:creationId xmlns:a16="http://schemas.microsoft.com/office/drawing/2014/main" id="{AD592CCB-F2C4-4060-BDDA-6E015FDACE00}"/>
            </a:ext>
          </a:extLst>
        </xdr:cNvPr>
        <xdr:cNvGrpSpPr/>
      </xdr:nvGrpSpPr>
      <xdr:grpSpPr>
        <a:xfrm>
          <a:off x="5791200" y="9083040"/>
          <a:ext cx="7787640" cy="2956560"/>
          <a:chOff x="6659880" y="9128760"/>
          <a:chExt cx="7787640" cy="2956560"/>
        </a:xfrm>
      </xdr:grpSpPr>
      <xdr:grpSp>
        <xdr:nvGrpSpPr>
          <xdr:cNvPr id="27" name="Group 26">
            <a:extLst>
              <a:ext uri="{FF2B5EF4-FFF2-40B4-BE49-F238E27FC236}">
                <a16:creationId xmlns:a16="http://schemas.microsoft.com/office/drawing/2014/main" id="{2F051A92-5F17-4AD4-BB38-3E8F82E733E0}"/>
              </a:ext>
            </a:extLst>
          </xdr:cNvPr>
          <xdr:cNvGrpSpPr/>
        </xdr:nvGrpSpPr>
        <xdr:grpSpPr>
          <a:xfrm>
            <a:off x="6659880" y="9128760"/>
            <a:ext cx="7787640" cy="2956560"/>
            <a:chOff x="6659880" y="9128760"/>
            <a:chExt cx="9768840" cy="2956560"/>
          </a:xfrm>
        </xdr:grpSpPr>
        <xdr:sp macro="" textlink="">
          <xdr:nvSpPr>
            <xdr:cNvPr id="17" name="Rectangle: Rounded Corners 16">
              <a:extLst>
                <a:ext uri="{FF2B5EF4-FFF2-40B4-BE49-F238E27FC236}">
                  <a16:creationId xmlns:a16="http://schemas.microsoft.com/office/drawing/2014/main" id="{BE4E3A16-F0EC-4096-960D-DA0875D15239}"/>
                </a:ext>
              </a:extLst>
            </xdr:cNvPr>
            <xdr:cNvSpPr/>
          </xdr:nvSpPr>
          <xdr:spPr>
            <a:xfrm>
              <a:off x="6659880" y="9128760"/>
              <a:ext cx="9768840" cy="295656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Rounded Corners 43">
              <a:extLst>
                <a:ext uri="{FF2B5EF4-FFF2-40B4-BE49-F238E27FC236}">
                  <a16:creationId xmlns:a16="http://schemas.microsoft.com/office/drawing/2014/main" id="{F2AB0AC2-2114-4D3A-8B3D-B03E63F702CF}"/>
                </a:ext>
              </a:extLst>
            </xdr:cNvPr>
            <xdr:cNvSpPr/>
          </xdr:nvSpPr>
          <xdr:spPr>
            <a:xfrm>
              <a:off x="6659880" y="9128760"/>
              <a:ext cx="9768840" cy="563880"/>
            </a:xfrm>
            <a:prstGeom prst="roundRect">
              <a:avLst/>
            </a:prstGeom>
            <a:solidFill>
              <a:srgbClr val="8B5CF6"/>
            </a:solid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Insights:</a:t>
              </a:r>
            </a:p>
          </xdr:txBody>
        </xdr:sp>
      </xdr:grpSp>
      <xdr:sp macro="" textlink="">
        <xdr:nvSpPr>
          <xdr:cNvPr id="33" name="TextBox 32">
            <a:extLst>
              <a:ext uri="{FF2B5EF4-FFF2-40B4-BE49-F238E27FC236}">
                <a16:creationId xmlns:a16="http://schemas.microsoft.com/office/drawing/2014/main" id="{33D10A06-8EAE-4768-B5F8-9D0C4A6C67AF}"/>
              </a:ext>
            </a:extLst>
          </xdr:cNvPr>
          <xdr:cNvSpPr txBox="1"/>
        </xdr:nvSpPr>
        <xdr:spPr>
          <a:xfrm>
            <a:off x="6781800" y="9738360"/>
            <a:ext cx="7275050" cy="2148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144000" tIns="144000" rIns="108000" rtlCol="0" anchor="t">
            <a:noAutofit/>
          </a:bodyPr>
          <a:lstStyle/>
          <a:p>
            <a:pPr lvl="0"/>
            <a:r>
              <a:rPr lang="az-Latn-AZ" sz="2300" b="0">
                <a:solidFill>
                  <a:srgbClr val="4A4A4A"/>
                </a:solidFill>
              </a:rPr>
              <a:t>- </a:t>
            </a:r>
            <a:r>
              <a:rPr lang="en-US" sz="2300" b="0">
                <a:solidFill>
                  <a:srgbClr val="4A4A4A"/>
                </a:solidFill>
              </a:rPr>
              <a:t>Retail industry has the highest revenue </a:t>
            </a:r>
            <a:endParaRPr lang="az-Latn-AZ" sz="2300" b="0">
              <a:solidFill>
                <a:srgbClr val="4A4A4A"/>
              </a:solidFill>
            </a:endParaRPr>
          </a:p>
          <a:p>
            <a:pPr lvl="0"/>
            <a:endParaRPr lang="az-Latn-AZ" sz="900" b="0">
              <a:solidFill>
                <a:srgbClr val="4A4A4A"/>
              </a:solidFill>
            </a:endParaRPr>
          </a:p>
          <a:p>
            <a:pPr lvl="0"/>
            <a:r>
              <a:rPr lang="az-Latn-AZ" sz="2300" b="0">
                <a:solidFill>
                  <a:srgbClr val="4A4A4A"/>
                </a:solidFill>
              </a:rPr>
              <a:t>- </a:t>
            </a:r>
            <a:r>
              <a:rPr lang="en-US" sz="2300" b="0">
                <a:solidFill>
                  <a:srgbClr val="4A4A4A"/>
                </a:solidFill>
              </a:rPr>
              <a:t>Technology industry has better profitability performance</a:t>
            </a:r>
            <a:endParaRPr lang="az-Latn-AZ" sz="2300" b="0">
              <a:solidFill>
                <a:srgbClr val="4A4A4A"/>
              </a:solidFill>
            </a:endParaRPr>
          </a:p>
          <a:p>
            <a:pPr lvl="0"/>
            <a:endParaRPr lang="az-Latn-AZ" sz="900" b="0">
              <a:solidFill>
                <a:srgbClr val="4A4A4A"/>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az-Latn-AZ" sz="2300" b="0">
                <a:solidFill>
                  <a:srgbClr val="4A4A4A"/>
                </a:solidFill>
              </a:rPr>
              <a:t>- </a:t>
            </a:r>
            <a:r>
              <a:rPr lang="en-US" sz="2300" b="0">
                <a:solidFill>
                  <a:srgbClr val="4A4A4A"/>
                </a:solidFill>
              </a:rPr>
              <a:t>Most companies are in the Strong and Positive categories</a:t>
            </a:r>
            <a:endParaRPr lang="en-US" sz="2400">
              <a:effectLst/>
            </a:endParaRPr>
          </a:p>
          <a:p>
            <a:pPr lvl="0"/>
            <a:endParaRPr lang="az-Latn-AZ" sz="900" b="0">
              <a:solidFill>
                <a:srgbClr val="4A4A4A"/>
              </a:solidFill>
            </a:endParaRPr>
          </a:p>
          <a:p>
            <a:pPr lvl="0"/>
            <a:r>
              <a:rPr lang="az-Latn-AZ" sz="2300" b="0">
                <a:solidFill>
                  <a:srgbClr val="4A4A4A"/>
                </a:solidFill>
              </a:rPr>
              <a:t>- </a:t>
            </a:r>
            <a:r>
              <a:rPr lang="en-US" sz="2300" b="0">
                <a:solidFill>
                  <a:srgbClr val="4A4A4A"/>
                </a:solidFill>
              </a:rPr>
              <a:t>High revenue does not always mean high profitability</a:t>
            </a:r>
          </a:p>
        </xdr:txBody>
      </xdr:sp>
    </xdr:grpSp>
    <xdr:clientData/>
  </xdr:twoCellAnchor>
  <xdr:twoCellAnchor>
    <xdr:from>
      <xdr:col>23</xdr:col>
      <xdr:colOff>121920</xdr:colOff>
      <xdr:row>50</xdr:row>
      <xdr:rowOff>15240</xdr:rowOff>
    </xdr:from>
    <xdr:to>
      <xdr:col>36</xdr:col>
      <xdr:colOff>30480</xdr:colOff>
      <xdr:row>66</xdr:row>
      <xdr:rowOff>60960</xdr:rowOff>
    </xdr:to>
    <xdr:grpSp>
      <xdr:nvGrpSpPr>
        <xdr:cNvPr id="53" name="Group 52">
          <a:extLst>
            <a:ext uri="{FF2B5EF4-FFF2-40B4-BE49-F238E27FC236}">
              <a16:creationId xmlns:a16="http://schemas.microsoft.com/office/drawing/2014/main" id="{2786762C-C902-4E30-A031-5E6CF1D56F4C}"/>
            </a:ext>
          </a:extLst>
        </xdr:cNvPr>
        <xdr:cNvGrpSpPr/>
      </xdr:nvGrpSpPr>
      <xdr:grpSpPr>
        <a:xfrm>
          <a:off x="14142720" y="9159240"/>
          <a:ext cx="7833360" cy="2971800"/>
          <a:chOff x="14615160" y="9144000"/>
          <a:chExt cx="7833360" cy="2971800"/>
        </a:xfrm>
      </xdr:grpSpPr>
      <xdr:grpSp>
        <xdr:nvGrpSpPr>
          <xdr:cNvPr id="49" name="Group 48">
            <a:extLst>
              <a:ext uri="{FF2B5EF4-FFF2-40B4-BE49-F238E27FC236}">
                <a16:creationId xmlns:a16="http://schemas.microsoft.com/office/drawing/2014/main" id="{2273DA2E-B701-4FB0-B6B9-1151AB9B0123}"/>
              </a:ext>
            </a:extLst>
          </xdr:cNvPr>
          <xdr:cNvGrpSpPr/>
        </xdr:nvGrpSpPr>
        <xdr:grpSpPr>
          <a:xfrm>
            <a:off x="14615160" y="9144000"/>
            <a:ext cx="7680960" cy="2956560"/>
            <a:chOff x="6659880" y="9128760"/>
            <a:chExt cx="9768840" cy="2956560"/>
          </a:xfrm>
        </xdr:grpSpPr>
        <xdr:sp macro="" textlink="">
          <xdr:nvSpPr>
            <xdr:cNvPr id="50" name="Rectangle: Rounded Corners 49">
              <a:extLst>
                <a:ext uri="{FF2B5EF4-FFF2-40B4-BE49-F238E27FC236}">
                  <a16:creationId xmlns:a16="http://schemas.microsoft.com/office/drawing/2014/main" id="{5F324AFF-B3A0-4B7B-A863-B6C4426DF6D7}"/>
                </a:ext>
              </a:extLst>
            </xdr:cNvPr>
            <xdr:cNvSpPr/>
          </xdr:nvSpPr>
          <xdr:spPr>
            <a:xfrm>
              <a:off x="6659880" y="9128760"/>
              <a:ext cx="9768840" cy="295656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Rectangle: Rounded Corners 50">
              <a:extLst>
                <a:ext uri="{FF2B5EF4-FFF2-40B4-BE49-F238E27FC236}">
                  <a16:creationId xmlns:a16="http://schemas.microsoft.com/office/drawing/2014/main" id="{AA3BBFCB-0B9D-479D-B140-2382BABE530D}"/>
                </a:ext>
              </a:extLst>
            </xdr:cNvPr>
            <xdr:cNvSpPr/>
          </xdr:nvSpPr>
          <xdr:spPr>
            <a:xfrm>
              <a:off x="6659880" y="9128760"/>
              <a:ext cx="9768840" cy="563880"/>
            </a:xfrm>
            <a:prstGeom prst="roundRect">
              <a:avLst/>
            </a:prstGeom>
            <a:solidFill>
              <a:srgbClr val="8B5CF6"/>
            </a:solid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Recommedantions:</a:t>
              </a:r>
            </a:p>
          </xdr:txBody>
        </xdr:sp>
      </xdr:grpSp>
      <xdr:sp macro="" textlink="">
        <xdr:nvSpPr>
          <xdr:cNvPr id="45" name="TextBox 44">
            <a:extLst>
              <a:ext uri="{FF2B5EF4-FFF2-40B4-BE49-F238E27FC236}">
                <a16:creationId xmlns:a16="http://schemas.microsoft.com/office/drawing/2014/main" id="{FFF54A92-D63A-4A2F-88A8-AF18D90464A8}"/>
              </a:ext>
            </a:extLst>
          </xdr:cNvPr>
          <xdr:cNvSpPr txBox="1"/>
        </xdr:nvSpPr>
        <xdr:spPr>
          <a:xfrm>
            <a:off x="14752320" y="9814560"/>
            <a:ext cx="7696200" cy="230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2300" b="0">
                <a:solidFill>
                  <a:srgbClr val="4A4A4A"/>
                </a:solidFill>
              </a:rPr>
              <a:t>- </a:t>
            </a:r>
            <a:r>
              <a:rPr lang="en-US" sz="2300" b="0">
                <a:solidFill>
                  <a:srgbClr val="4A4A4A"/>
                </a:solidFill>
              </a:rPr>
              <a:t>Companies should focus more on profitability </a:t>
            </a:r>
            <a:endParaRPr lang="az-Latn-AZ" sz="900" b="0">
              <a:solidFill>
                <a:srgbClr val="4A4A4A"/>
              </a:solidFill>
            </a:endParaRPr>
          </a:p>
          <a:p>
            <a:endParaRPr lang="az-Latn-AZ" sz="800" b="0">
              <a:solidFill>
                <a:srgbClr val="4A4A4A"/>
              </a:solidFill>
            </a:endParaRPr>
          </a:p>
          <a:p>
            <a:r>
              <a:rPr lang="az-Latn-AZ" sz="2300" b="0">
                <a:solidFill>
                  <a:srgbClr val="4A4A4A"/>
                </a:solidFill>
              </a:rPr>
              <a:t>- </a:t>
            </a:r>
            <a:r>
              <a:rPr lang="en-US" sz="2300" b="0">
                <a:solidFill>
                  <a:srgbClr val="4A4A4A"/>
                </a:solidFill>
              </a:rPr>
              <a:t>Low-performing industries should improve efficiency</a:t>
            </a:r>
            <a:endParaRPr lang="az-Latn-AZ" sz="900" b="0">
              <a:solidFill>
                <a:srgbClr val="4A4A4A"/>
              </a:solidFill>
            </a:endParaRPr>
          </a:p>
          <a:p>
            <a:endParaRPr lang="az-Latn-AZ" sz="800" b="0">
              <a:solidFill>
                <a:srgbClr val="4A4A4A"/>
              </a:solidFill>
            </a:endParaRPr>
          </a:p>
          <a:p>
            <a:r>
              <a:rPr lang="az-Latn-AZ" sz="2300" b="0">
                <a:solidFill>
                  <a:srgbClr val="4A4A4A"/>
                </a:solidFill>
              </a:rPr>
              <a:t>- </a:t>
            </a:r>
            <a:r>
              <a:rPr lang="en-US" sz="2300" b="0">
                <a:solidFill>
                  <a:srgbClr val="4A4A4A"/>
                </a:solidFill>
              </a:rPr>
              <a:t>Businesses should balance revenue and profitability</a:t>
            </a:r>
            <a:endParaRPr lang="az-Latn-AZ" sz="900" b="0">
              <a:solidFill>
                <a:srgbClr val="4A4A4A"/>
              </a:solidFill>
            </a:endParaRPr>
          </a:p>
          <a:p>
            <a:endParaRPr lang="az-Latn-AZ" sz="800" b="0">
              <a:solidFill>
                <a:srgbClr val="4A4A4A"/>
              </a:solidFill>
            </a:endParaRPr>
          </a:p>
          <a:p>
            <a:r>
              <a:rPr lang="az-Latn-AZ" sz="2300" b="0">
                <a:solidFill>
                  <a:srgbClr val="4A4A4A"/>
                </a:solidFill>
              </a:rPr>
              <a:t>-</a:t>
            </a:r>
            <a:r>
              <a:rPr lang="az-Latn-AZ" sz="2300" b="0" baseline="0">
                <a:solidFill>
                  <a:srgbClr val="4A4A4A"/>
                </a:solidFill>
              </a:rPr>
              <a:t> </a:t>
            </a:r>
            <a:r>
              <a:rPr lang="en-US" sz="2300" b="0">
                <a:solidFill>
                  <a:srgbClr val="4A4A4A"/>
                </a:solidFill>
              </a:rPr>
              <a:t>Companies with strong SWOT ratings should use growth opportunities</a:t>
            </a:r>
          </a:p>
        </xdr:txBody>
      </xdr:sp>
    </xdr:grpSp>
    <xdr:clientData/>
  </xdr:twoCellAnchor>
  <xdr:twoCellAnchor>
    <xdr:from>
      <xdr:col>36</xdr:col>
      <xdr:colOff>121920</xdr:colOff>
      <xdr:row>50</xdr:row>
      <xdr:rowOff>0</xdr:rowOff>
    </xdr:from>
    <xdr:to>
      <xdr:col>46</xdr:col>
      <xdr:colOff>213360</xdr:colOff>
      <xdr:row>66</xdr:row>
      <xdr:rowOff>30480</xdr:rowOff>
    </xdr:to>
    <xdr:grpSp>
      <xdr:nvGrpSpPr>
        <xdr:cNvPr id="56" name="Group 55">
          <a:extLst>
            <a:ext uri="{FF2B5EF4-FFF2-40B4-BE49-F238E27FC236}">
              <a16:creationId xmlns:a16="http://schemas.microsoft.com/office/drawing/2014/main" id="{E047F366-2CAC-45D9-96D2-30F71AB6BE72}"/>
            </a:ext>
          </a:extLst>
        </xdr:cNvPr>
        <xdr:cNvGrpSpPr/>
      </xdr:nvGrpSpPr>
      <xdr:grpSpPr>
        <a:xfrm>
          <a:off x="22067520" y="9144000"/>
          <a:ext cx="6187440" cy="2956560"/>
          <a:chOff x="14615160" y="9144000"/>
          <a:chExt cx="7865129" cy="2956560"/>
        </a:xfrm>
      </xdr:grpSpPr>
      <xdr:grpSp>
        <xdr:nvGrpSpPr>
          <xdr:cNvPr id="57" name="Group 56">
            <a:extLst>
              <a:ext uri="{FF2B5EF4-FFF2-40B4-BE49-F238E27FC236}">
                <a16:creationId xmlns:a16="http://schemas.microsoft.com/office/drawing/2014/main" id="{5BB2EFA9-6451-4B28-896D-CEA91D7B8916}"/>
              </a:ext>
            </a:extLst>
          </xdr:cNvPr>
          <xdr:cNvGrpSpPr/>
        </xdr:nvGrpSpPr>
        <xdr:grpSpPr>
          <a:xfrm>
            <a:off x="14615160" y="9144000"/>
            <a:ext cx="7680960" cy="2956560"/>
            <a:chOff x="6659880" y="9128760"/>
            <a:chExt cx="9768840" cy="2956560"/>
          </a:xfrm>
        </xdr:grpSpPr>
        <xdr:sp macro="" textlink="">
          <xdr:nvSpPr>
            <xdr:cNvPr id="59" name="Rectangle: Rounded Corners 58">
              <a:extLst>
                <a:ext uri="{FF2B5EF4-FFF2-40B4-BE49-F238E27FC236}">
                  <a16:creationId xmlns:a16="http://schemas.microsoft.com/office/drawing/2014/main" id="{821B0A63-6EB0-4216-8C88-4C44E29C31E0}"/>
                </a:ext>
              </a:extLst>
            </xdr:cNvPr>
            <xdr:cNvSpPr/>
          </xdr:nvSpPr>
          <xdr:spPr>
            <a:xfrm>
              <a:off x="6659880" y="9128760"/>
              <a:ext cx="9768840" cy="295656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Rounded Corners 59">
              <a:extLst>
                <a:ext uri="{FF2B5EF4-FFF2-40B4-BE49-F238E27FC236}">
                  <a16:creationId xmlns:a16="http://schemas.microsoft.com/office/drawing/2014/main" id="{95CD9F1A-ED63-4C55-A348-565886C7851C}"/>
                </a:ext>
              </a:extLst>
            </xdr:cNvPr>
            <xdr:cNvSpPr/>
          </xdr:nvSpPr>
          <xdr:spPr>
            <a:xfrm>
              <a:off x="6659880" y="9128760"/>
              <a:ext cx="9768840" cy="563880"/>
            </a:xfrm>
            <a:prstGeom prst="roundRect">
              <a:avLst/>
            </a:prstGeom>
            <a:solidFill>
              <a:srgbClr val="8B5CF6"/>
            </a:solid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Executive Summary:</a:t>
              </a:r>
            </a:p>
          </xdr:txBody>
        </xdr:sp>
      </xdr:grpSp>
      <xdr:sp macro="" textlink="">
        <xdr:nvSpPr>
          <xdr:cNvPr id="58" name="TextBox 57">
            <a:extLst>
              <a:ext uri="{FF2B5EF4-FFF2-40B4-BE49-F238E27FC236}">
                <a16:creationId xmlns:a16="http://schemas.microsoft.com/office/drawing/2014/main" id="{616DBD02-0F62-4CA6-83B0-F618C25ADB05}"/>
              </a:ext>
            </a:extLst>
          </xdr:cNvPr>
          <xdr:cNvSpPr txBox="1"/>
        </xdr:nvSpPr>
        <xdr:spPr>
          <a:xfrm>
            <a:off x="14829809" y="10043160"/>
            <a:ext cx="7650480" cy="2042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300">
                <a:solidFill>
                  <a:srgbClr val="4A4A4A"/>
                </a:solidFill>
              </a:rPr>
              <a:t>Most companies show positive SWOT</a:t>
            </a:r>
            <a:endParaRPr lang="az-Latn-AZ" sz="2300">
              <a:solidFill>
                <a:srgbClr val="4A4A4A"/>
              </a:solidFill>
            </a:endParaRPr>
          </a:p>
          <a:p>
            <a:pPr algn="l"/>
            <a:endParaRPr lang="az-Latn-AZ" sz="100">
              <a:solidFill>
                <a:srgbClr val="4A4A4A"/>
              </a:solidFill>
            </a:endParaRPr>
          </a:p>
          <a:p>
            <a:pPr algn="l"/>
            <a:r>
              <a:rPr lang="en-US" sz="2300">
                <a:solidFill>
                  <a:srgbClr val="4A4A4A"/>
                </a:solidFill>
              </a:rPr>
              <a:t>performance, while Technology demonstrates</a:t>
            </a:r>
            <a:endParaRPr lang="az-Latn-AZ" sz="900">
              <a:solidFill>
                <a:srgbClr val="4A4A4A"/>
              </a:solidFill>
            </a:endParaRPr>
          </a:p>
          <a:p>
            <a:pPr algn="l"/>
            <a:endParaRPr lang="az-Latn-AZ" sz="100">
              <a:solidFill>
                <a:srgbClr val="4A4A4A"/>
              </a:solidFill>
            </a:endParaRPr>
          </a:p>
          <a:p>
            <a:pPr algn="l"/>
            <a:r>
              <a:rPr lang="en-US" sz="2300">
                <a:solidFill>
                  <a:srgbClr val="4A4A4A"/>
                </a:solidFill>
              </a:rPr>
              <a:t>strong profitability despite lower revenue levels.</a:t>
            </a:r>
            <a:endParaRPr lang="az-Latn-AZ" sz="2300" b="0">
              <a:solidFill>
                <a:srgbClr val="4A4A4A"/>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129542</xdr:colOff>
      <xdr:row>0</xdr:row>
      <xdr:rowOff>45720</xdr:rowOff>
    </xdr:from>
    <xdr:to>
      <xdr:col>16</xdr:col>
      <xdr:colOff>152400</xdr:colOff>
      <xdr:row>6</xdr:row>
      <xdr:rowOff>91440</xdr:rowOff>
    </xdr:to>
    <xdr:grpSp>
      <xdr:nvGrpSpPr>
        <xdr:cNvPr id="2" name="Group 1">
          <a:extLst>
            <a:ext uri="{FF2B5EF4-FFF2-40B4-BE49-F238E27FC236}">
              <a16:creationId xmlns:a16="http://schemas.microsoft.com/office/drawing/2014/main" id="{237106C0-7DD2-4F2E-AFE3-840E50C81D11}"/>
            </a:ext>
          </a:extLst>
        </xdr:cNvPr>
        <xdr:cNvGrpSpPr/>
      </xdr:nvGrpSpPr>
      <xdr:grpSpPr>
        <a:xfrm>
          <a:off x="129542" y="45720"/>
          <a:ext cx="9776458" cy="1143000"/>
          <a:chOff x="129541" y="0"/>
          <a:chExt cx="6149339" cy="1098560"/>
        </a:xfrm>
      </xdr:grpSpPr>
      <xdr:sp macro="" textlink="">
        <xdr:nvSpPr>
          <xdr:cNvPr id="3" name="Text Box 1">
            <a:extLst>
              <a:ext uri="{FF2B5EF4-FFF2-40B4-BE49-F238E27FC236}">
                <a16:creationId xmlns:a16="http://schemas.microsoft.com/office/drawing/2014/main" id="{C3D7C97B-852F-4AE6-9364-DEB077B81DA0}"/>
              </a:ext>
            </a:extLst>
          </xdr:cNvPr>
          <xdr:cNvSpPr txBox="1">
            <a:spLocks noChangeArrowheads="1"/>
          </xdr:cNvSpPr>
        </xdr:nvSpPr>
        <xdr:spPr bwMode="auto">
          <a:xfrm>
            <a:off x="960120" y="0"/>
            <a:ext cx="5318760" cy="548640"/>
          </a:xfrm>
          <a:prstGeom prst="rect">
            <a:avLst/>
          </a:prstGeom>
          <a:noFill/>
          <a:ln w="9525">
            <a:noFill/>
            <a:miter lim="800000"/>
            <a:headEnd/>
            <a:tailEnd/>
          </a:ln>
        </xdr:spPr>
        <xdr:txBody>
          <a:bodyPr vertOverflow="clip" wrap="square" lIns="36576" tIns="32004" rIns="0" bIns="0" anchor="t" upright="1"/>
          <a:lstStyle/>
          <a:p>
            <a:pPr rtl="0"/>
            <a:r>
              <a:rPr lang="en-US" sz="4000" b="1" i="0" baseline="0">
                <a:solidFill>
                  <a:schemeClr val="bg1"/>
                </a:solidFill>
                <a:effectLst/>
                <a:latin typeface="+mn-lt"/>
                <a:ea typeface="+mn-ea"/>
                <a:cs typeface="+mn-cs"/>
              </a:rPr>
              <a:t>Industry Comparison Analysis</a:t>
            </a:r>
            <a:endParaRPr lang="en-US" sz="11500">
              <a:solidFill>
                <a:schemeClr val="bg1"/>
              </a:solidFill>
              <a:effectLst/>
            </a:endParaRPr>
          </a:p>
        </xdr:txBody>
      </xdr:sp>
      <xdr:sp macro="" textlink="">
        <xdr:nvSpPr>
          <xdr:cNvPr id="4" name="TextBox 3">
            <a:extLst>
              <a:ext uri="{FF2B5EF4-FFF2-40B4-BE49-F238E27FC236}">
                <a16:creationId xmlns:a16="http://schemas.microsoft.com/office/drawing/2014/main" id="{74F5CEE9-5BE7-4F41-AE9D-90B3B0535CD0}"/>
              </a:ext>
            </a:extLst>
          </xdr:cNvPr>
          <xdr:cNvSpPr txBox="1"/>
        </xdr:nvSpPr>
        <xdr:spPr>
          <a:xfrm>
            <a:off x="937260" y="611294"/>
            <a:ext cx="4788928" cy="449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solidFill>
                <a:effectLst/>
                <a:latin typeface="+mn-lt"/>
                <a:ea typeface="+mn-ea"/>
                <a:cs typeface="+mn-cs"/>
              </a:rPr>
              <a:t>Financial Performance and Industry Efficiency Comparison</a:t>
            </a:r>
            <a:endParaRPr lang="en-US" sz="4800">
              <a:solidFill>
                <a:schemeClr val="bg1"/>
              </a:solidFill>
              <a:effectLst/>
            </a:endParaRPr>
          </a:p>
        </xdr:txBody>
      </xdr:sp>
      <xdr:pic>
        <xdr:nvPicPr>
          <xdr:cNvPr id="5" name="Graphic 4" descr="Brain in head with solid fill">
            <a:extLst>
              <a:ext uri="{FF2B5EF4-FFF2-40B4-BE49-F238E27FC236}">
                <a16:creationId xmlns:a16="http://schemas.microsoft.com/office/drawing/2014/main" id="{C514C486-057D-439F-A202-A03530919A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9541" y="68580"/>
            <a:ext cx="742904" cy="1029980"/>
          </a:xfrm>
          <a:prstGeom prst="rect">
            <a:avLst/>
          </a:prstGeom>
        </xdr:spPr>
      </xdr:pic>
    </xdr:grpSp>
    <xdr:clientData/>
  </xdr:twoCellAnchor>
  <xdr:oneCellAnchor>
    <xdr:from>
      <xdr:col>21</xdr:col>
      <xdr:colOff>533400</xdr:colOff>
      <xdr:row>1</xdr:row>
      <xdr:rowOff>91440</xdr:rowOff>
    </xdr:from>
    <xdr:ext cx="3799475" cy="656421"/>
    <xdr:sp macro="" textlink="">
      <xdr:nvSpPr>
        <xdr:cNvPr id="6" name="TextBox 5">
          <a:hlinkClick xmlns:r="http://schemas.openxmlformats.org/officeDocument/2006/relationships" r:id="rId3"/>
          <a:extLst>
            <a:ext uri="{FF2B5EF4-FFF2-40B4-BE49-F238E27FC236}">
              <a16:creationId xmlns:a16="http://schemas.microsoft.com/office/drawing/2014/main" id="{AC242186-4127-46F4-8E10-4C30BF90B43E}"/>
            </a:ext>
          </a:extLst>
        </xdr:cNvPr>
        <xdr:cNvSpPr txBox="1"/>
      </xdr:nvSpPr>
      <xdr:spPr>
        <a:xfrm>
          <a:off x="13335000" y="274320"/>
          <a:ext cx="3799475" cy="656421"/>
        </a:xfrm>
        <a:prstGeom prst="roundRect">
          <a:avLst/>
        </a:prstGeom>
        <a:solidFill>
          <a:srgbClr val="8B5CF6"/>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u="none">
              <a:solidFill>
                <a:srgbClr val="E9D5FF"/>
              </a:solidFill>
            </a:rPr>
            <a:t>Executive Dashboard</a:t>
          </a:r>
        </a:p>
      </xdr:txBody>
    </xdr:sp>
    <xdr:clientData/>
  </xdr:oneCellAnchor>
  <xdr:oneCellAnchor>
    <xdr:from>
      <xdr:col>35</xdr:col>
      <xdr:colOff>289560</xdr:colOff>
      <xdr:row>1</xdr:row>
      <xdr:rowOff>91440</xdr:rowOff>
    </xdr:from>
    <xdr:ext cx="3324735" cy="656421"/>
    <xdr:sp macro="" textlink="">
      <xdr:nvSpPr>
        <xdr:cNvPr id="21" name="TextBox 20">
          <a:hlinkClick xmlns:r="http://schemas.openxmlformats.org/officeDocument/2006/relationships" r:id="rId4"/>
          <a:extLst>
            <a:ext uri="{FF2B5EF4-FFF2-40B4-BE49-F238E27FC236}">
              <a16:creationId xmlns:a16="http://schemas.microsoft.com/office/drawing/2014/main" id="{5852A7BE-9852-4071-B99F-66F2434BEB1F}"/>
            </a:ext>
          </a:extLst>
        </xdr:cNvPr>
        <xdr:cNvSpPr txBox="1"/>
      </xdr:nvSpPr>
      <xdr:spPr>
        <a:xfrm>
          <a:off x="21625560" y="274320"/>
          <a:ext cx="3324735"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rgbClr val="E9D5FF"/>
              </a:solidFill>
            </a:rPr>
            <a:t>SWOT</a:t>
          </a:r>
          <a:r>
            <a:rPr lang="en-US" sz="2800" b="1">
              <a:solidFill>
                <a:srgbClr val="5B21B6"/>
              </a:solidFill>
            </a:rPr>
            <a:t> </a:t>
          </a:r>
          <a:r>
            <a:rPr lang="en-US" sz="3200" b="1">
              <a:solidFill>
                <a:srgbClr val="E9D5FF"/>
              </a:solidFill>
            </a:rPr>
            <a:t>Intelligence</a:t>
          </a:r>
          <a:endParaRPr lang="en-US" sz="2800" b="1">
            <a:solidFill>
              <a:srgbClr val="E9D5FF"/>
            </a:solidFill>
          </a:endParaRPr>
        </a:p>
      </xdr:txBody>
    </xdr:sp>
    <xdr:clientData/>
  </xdr:oneCellAnchor>
  <xdr:oneCellAnchor>
    <xdr:from>
      <xdr:col>41</xdr:col>
      <xdr:colOff>259080</xdr:colOff>
      <xdr:row>1</xdr:row>
      <xdr:rowOff>91440</xdr:rowOff>
    </xdr:from>
    <xdr:ext cx="2699318" cy="656421"/>
    <xdr:sp macro="" textlink="">
      <xdr:nvSpPr>
        <xdr:cNvPr id="22" name="TextBox 21">
          <a:hlinkClick xmlns:r="http://schemas.openxmlformats.org/officeDocument/2006/relationships" r:id="rId5"/>
          <a:extLst>
            <a:ext uri="{FF2B5EF4-FFF2-40B4-BE49-F238E27FC236}">
              <a16:creationId xmlns:a16="http://schemas.microsoft.com/office/drawing/2014/main" id="{C87F3FA7-8733-4D97-8756-313858DB0801}"/>
            </a:ext>
          </a:extLst>
        </xdr:cNvPr>
        <xdr:cNvSpPr txBox="1"/>
      </xdr:nvSpPr>
      <xdr:spPr>
        <a:xfrm>
          <a:off x="25252680" y="274320"/>
          <a:ext cx="2699318"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rgbClr val="E9D5FF"/>
              </a:solidFill>
            </a:rPr>
            <a:t>Risk &amp; Growth</a:t>
          </a:r>
        </a:p>
      </xdr:txBody>
    </xdr:sp>
    <xdr:clientData/>
  </xdr:oneCellAnchor>
  <xdr:oneCellAnchor>
    <xdr:from>
      <xdr:col>28</xdr:col>
      <xdr:colOff>502920</xdr:colOff>
      <xdr:row>1</xdr:row>
      <xdr:rowOff>91440</xdr:rowOff>
    </xdr:from>
    <xdr:ext cx="3588422" cy="656421"/>
    <xdr:sp macro="" textlink="">
      <xdr:nvSpPr>
        <xdr:cNvPr id="23" name="TextBox 22">
          <a:hlinkClick xmlns:r="http://schemas.openxmlformats.org/officeDocument/2006/relationships" r:id="rId6"/>
          <a:extLst>
            <a:ext uri="{FF2B5EF4-FFF2-40B4-BE49-F238E27FC236}">
              <a16:creationId xmlns:a16="http://schemas.microsoft.com/office/drawing/2014/main" id="{6999D74D-6D0F-4CDE-9BAC-390B15C2C2F0}"/>
            </a:ext>
          </a:extLst>
        </xdr:cNvPr>
        <xdr:cNvSpPr txBox="1"/>
      </xdr:nvSpPr>
      <xdr:spPr>
        <a:xfrm>
          <a:off x="17571720" y="274320"/>
          <a:ext cx="3588422"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u="sng">
              <a:solidFill>
                <a:srgbClr val="E9D5FF"/>
              </a:solidFill>
            </a:rPr>
            <a:t>I</a:t>
          </a:r>
          <a:r>
            <a:rPr lang="az-Latn-AZ" sz="3200" b="1" u="sng">
              <a:solidFill>
                <a:srgbClr val="E9D5FF"/>
              </a:solidFill>
            </a:rPr>
            <a:t>ndustry</a:t>
          </a:r>
          <a:r>
            <a:rPr lang="az-Latn-AZ" sz="2800" b="1" u="sng">
              <a:solidFill>
                <a:srgbClr val="E9D5FF"/>
              </a:solidFill>
            </a:rPr>
            <a:t> </a:t>
          </a:r>
          <a:r>
            <a:rPr lang="az-Latn-AZ" sz="3200" b="1" u="sng">
              <a:solidFill>
                <a:srgbClr val="E9D5FF"/>
              </a:solidFill>
            </a:rPr>
            <a:t>Companies</a:t>
          </a:r>
          <a:endParaRPr lang="en-US" sz="2800" b="1" u="sng">
            <a:solidFill>
              <a:srgbClr val="E9D5FF"/>
            </a:solidFill>
          </a:endParaRPr>
        </a:p>
      </xdr:txBody>
    </xdr:sp>
    <xdr:clientData/>
  </xdr:oneCellAnchor>
  <xdr:twoCellAnchor>
    <xdr:from>
      <xdr:col>0</xdr:col>
      <xdr:colOff>408940</xdr:colOff>
      <xdr:row>23</xdr:row>
      <xdr:rowOff>30480</xdr:rowOff>
    </xdr:from>
    <xdr:to>
      <xdr:col>13</xdr:col>
      <xdr:colOff>546100</xdr:colOff>
      <xdr:row>66</xdr:row>
      <xdr:rowOff>121920</xdr:rowOff>
    </xdr:to>
    <xdr:grpSp>
      <xdr:nvGrpSpPr>
        <xdr:cNvPr id="51" name="Group 50">
          <a:extLst>
            <a:ext uri="{FF2B5EF4-FFF2-40B4-BE49-F238E27FC236}">
              <a16:creationId xmlns:a16="http://schemas.microsoft.com/office/drawing/2014/main" id="{83C8EFA7-5D5B-4784-81C1-D4F8415688DB}"/>
            </a:ext>
          </a:extLst>
        </xdr:cNvPr>
        <xdr:cNvGrpSpPr/>
      </xdr:nvGrpSpPr>
      <xdr:grpSpPr>
        <a:xfrm>
          <a:off x="408940" y="4236720"/>
          <a:ext cx="8061960" cy="7955280"/>
          <a:chOff x="457200" y="4373880"/>
          <a:chExt cx="8061960" cy="7955280"/>
        </a:xfrm>
      </xdr:grpSpPr>
      <xdr:sp macro="" textlink="">
        <xdr:nvSpPr>
          <xdr:cNvPr id="52" name="Rectangle: Rounded Corners 51">
            <a:extLst>
              <a:ext uri="{FF2B5EF4-FFF2-40B4-BE49-F238E27FC236}">
                <a16:creationId xmlns:a16="http://schemas.microsoft.com/office/drawing/2014/main" id="{BC2C41DE-058E-4532-9E4E-FA17C640653F}"/>
              </a:ext>
            </a:extLst>
          </xdr:cNvPr>
          <xdr:cNvSpPr/>
        </xdr:nvSpPr>
        <xdr:spPr>
          <a:xfrm>
            <a:off x="472440" y="4373880"/>
            <a:ext cx="8046720" cy="7955280"/>
          </a:xfrm>
          <a:prstGeom prst="roundRect">
            <a:avLst>
              <a:gd name="adj" fmla="val 96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az-Latn-AZ" sz="1100"/>
              <a:t>c</a:t>
            </a:r>
            <a:endParaRPr lang="en-US" sz="1100"/>
          </a:p>
        </xdr:txBody>
      </xdr:sp>
      <xdr:graphicFrame macro="">
        <xdr:nvGraphicFramePr>
          <xdr:cNvPr id="53" name="Chart 52">
            <a:extLst>
              <a:ext uri="{FF2B5EF4-FFF2-40B4-BE49-F238E27FC236}">
                <a16:creationId xmlns:a16="http://schemas.microsoft.com/office/drawing/2014/main" id="{EFA13359-D941-4872-B226-4DDE4DF3779F}"/>
              </a:ext>
            </a:extLst>
          </xdr:cNvPr>
          <xdr:cNvGraphicFramePr/>
        </xdr:nvGraphicFramePr>
        <xdr:xfrm>
          <a:off x="457200" y="8442960"/>
          <a:ext cx="7437120" cy="36576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35</xdr:col>
      <xdr:colOff>228600</xdr:colOff>
      <xdr:row>37</xdr:row>
      <xdr:rowOff>76200</xdr:rowOff>
    </xdr:from>
    <xdr:to>
      <xdr:col>46</xdr:col>
      <xdr:colOff>259080</xdr:colOff>
      <xdr:row>64</xdr:row>
      <xdr:rowOff>91440</xdr:rowOff>
    </xdr:to>
    <xdr:grpSp>
      <xdr:nvGrpSpPr>
        <xdr:cNvPr id="61" name="Group 60">
          <a:extLst>
            <a:ext uri="{FF2B5EF4-FFF2-40B4-BE49-F238E27FC236}">
              <a16:creationId xmlns:a16="http://schemas.microsoft.com/office/drawing/2014/main" id="{A6A32594-FBE3-4CDC-B24F-DDF66EDA04B8}"/>
            </a:ext>
          </a:extLst>
        </xdr:cNvPr>
        <xdr:cNvGrpSpPr/>
      </xdr:nvGrpSpPr>
      <xdr:grpSpPr>
        <a:xfrm>
          <a:off x="21564600" y="6842760"/>
          <a:ext cx="6736080" cy="4953000"/>
          <a:chOff x="6659880" y="9128760"/>
          <a:chExt cx="7787640" cy="2956560"/>
        </a:xfrm>
      </xdr:grpSpPr>
      <xdr:grpSp>
        <xdr:nvGrpSpPr>
          <xdr:cNvPr id="62" name="Group 61">
            <a:extLst>
              <a:ext uri="{FF2B5EF4-FFF2-40B4-BE49-F238E27FC236}">
                <a16:creationId xmlns:a16="http://schemas.microsoft.com/office/drawing/2014/main" id="{43623E92-9607-4466-8445-4B8ABA370AF7}"/>
              </a:ext>
            </a:extLst>
          </xdr:cNvPr>
          <xdr:cNvGrpSpPr/>
        </xdr:nvGrpSpPr>
        <xdr:grpSpPr>
          <a:xfrm>
            <a:off x="6659880" y="9128760"/>
            <a:ext cx="7787640" cy="2956560"/>
            <a:chOff x="6659880" y="9128760"/>
            <a:chExt cx="9768840" cy="2956560"/>
          </a:xfrm>
        </xdr:grpSpPr>
        <xdr:sp macro="" textlink="">
          <xdr:nvSpPr>
            <xdr:cNvPr id="64" name="Rectangle: Rounded Corners 63">
              <a:extLst>
                <a:ext uri="{FF2B5EF4-FFF2-40B4-BE49-F238E27FC236}">
                  <a16:creationId xmlns:a16="http://schemas.microsoft.com/office/drawing/2014/main" id="{55DBEEF3-955D-4801-8CB3-C542349D7B67}"/>
                </a:ext>
              </a:extLst>
            </xdr:cNvPr>
            <xdr:cNvSpPr/>
          </xdr:nvSpPr>
          <xdr:spPr>
            <a:xfrm>
              <a:off x="6659880" y="9128760"/>
              <a:ext cx="9768840" cy="295656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Rounded Corners 64">
              <a:extLst>
                <a:ext uri="{FF2B5EF4-FFF2-40B4-BE49-F238E27FC236}">
                  <a16:creationId xmlns:a16="http://schemas.microsoft.com/office/drawing/2014/main" id="{B7376542-2488-4C25-BBE7-6486F9FAB705}"/>
                </a:ext>
              </a:extLst>
            </xdr:cNvPr>
            <xdr:cNvSpPr/>
          </xdr:nvSpPr>
          <xdr:spPr>
            <a:xfrm>
              <a:off x="6659880" y="9128761"/>
              <a:ext cx="9768840" cy="563880"/>
            </a:xfrm>
            <a:prstGeom prst="roundRect">
              <a:avLst/>
            </a:prstGeom>
            <a:solidFill>
              <a:srgbClr val="8B5CF6"/>
            </a:solid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az-Latn-AZ" sz="2800" b="1"/>
                <a:t>Recommendations</a:t>
              </a:r>
              <a:r>
                <a:rPr lang="en-US" sz="2800" b="1"/>
                <a:t>:</a:t>
              </a:r>
            </a:p>
          </xdr:txBody>
        </xdr:sp>
      </xdr:grpSp>
      <xdr:sp macro="" textlink="">
        <xdr:nvSpPr>
          <xdr:cNvPr id="63" name="TextBox 62">
            <a:extLst>
              <a:ext uri="{FF2B5EF4-FFF2-40B4-BE49-F238E27FC236}">
                <a16:creationId xmlns:a16="http://schemas.microsoft.com/office/drawing/2014/main" id="{520E8A4C-4F51-408E-A9A1-B0F58D17AA9E}"/>
              </a:ext>
            </a:extLst>
          </xdr:cNvPr>
          <xdr:cNvSpPr txBox="1"/>
        </xdr:nvSpPr>
        <xdr:spPr>
          <a:xfrm>
            <a:off x="6781800" y="9738360"/>
            <a:ext cx="7561731" cy="2148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144000" tIns="144000" rIns="108000" rtlCol="0" anchor="t">
            <a:noAutofit/>
          </a:bodyPr>
          <a:lstStyle/>
          <a:p>
            <a:r>
              <a:rPr lang="az-Latn-AZ" sz="2400"/>
              <a:t>- </a:t>
            </a:r>
            <a:r>
              <a:rPr lang="en-US" sz="2400"/>
              <a:t>Companies should improve operational efficiency</a:t>
            </a:r>
            <a:endParaRPr lang="az-Latn-AZ" sz="2400"/>
          </a:p>
          <a:p>
            <a:r>
              <a:rPr lang="az-Latn-AZ" sz="2400"/>
              <a:t> </a:t>
            </a:r>
            <a:r>
              <a:rPr lang="en-US" sz="2400"/>
              <a:t> and control unnecessary costs</a:t>
            </a:r>
            <a:endParaRPr lang="az-Latn-AZ" sz="2400"/>
          </a:p>
          <a:p>
            <a:endParaRPr lang="en-US" sz="900"/>
          </a:p>
          <a:p>
            <a:r>
              <a:rPr lang="az-Latn-AZ" sz="2400"/>
              <a:t>-</a:t>
            </a:r>
            <a:r>
              <a:rPr lang="en-US" sz="2400"/>
              <a:t> Low-profit industries should optimize workforce </a:t>
            </a:r>
            <a:endParaRPr lang="az-Latn-AZ" sz="2400"/>
          </a:p>
          <a:p>
            <a:r>
              <a:rPr lang="az-Latn-AZ" sz="2400"/>
              <a:t>  </a:t>
            </a:r>
            <a:r>
              <a:rPr lang="en-US" sz="2400"/>
              <a:t>and operational processes</a:t>
            </a:r>
            <a:endParaRPr lang="az-Latn-AZ" sz="2400"/>
          </a:p>
          <a:p>
            <a:endParaRPr lang="en-US" sz="900"/>
          </a:p>
          <a:p>
            <a:r>
              <a:rPr lang="az-Latn-AZ" sz="2400"/>
              <a:t>-</a:t>
            </a:r>
            <a:r>
              <a:rPr lang="en-US" sz="2400"/>
              <a:t> Businesses should balance revenue growth with</a:t>
            </a:r>
            <a:endParaRPr lang="az-Latn-AZ" sz="2400"/>
          </a:p>
          <a:p>
            <a:r>
              <a:rPr lang="az-Latn-AZ" sz="2400" baseline="0"/>
              <a:t>   </a:t>
            </a:r>
            <a:r>
              <a:rPr lang="en-US" sz="2400"/>
              <a:t>profitability performance</a:t>
            </a:r>
            <a:endParaRPr lang="az-Latn-AZ" sz="2400"/>
          </a:p>
          <a:p>
            <a:endParaRPr lang="en-US" sz="900"/>
          </a:p>
          <a:p>
            <a:r>
              <a:rPr lang="az-Latn-AZ" sz="2400"/>
              <a:t>-</a:t>
            </a:r>
            <a:r>
              <a:rPr lang="en-US" sz="2400"/>
              <a:t> High-performing industries can be used as </a:t>
            </a:r>
            <a:endParaRPr lang="az-Latn-AZ" sz="2400"/>
          </a:p>
          <a:p>
            <a:r>
              <a:rPr lang="az-Latn-AZ" sz="2400"/>
              <a:t>   </a:t>
            </a:r>
            <a:r>
              <a:rPr lang="en-US" sz="2400"/>
              <a:t>benchmarks for business improvement</a:t>
            </a:r>
          </a:p>
          <a:p>
            <a:pPr lvl="0"/>
            <a:endParaRPr lang="en-US" sz="2300" b="0">
              <a:solidFill>
                <a:srgbClr val="4A4A4A"/>
              </a:solidFill>
            </a:endParaRPr>
          </a:p>
        </xdr:txBody>
      </xdr:sp>
    </xdr:grpSp>
    <xdr:clientData/>
  </xdr:twoCellAnchor>
  <xdr:twoCellAnchor>
    <xdr:from>
      <xdr:col>35</xdr:col>
      <xdr:colOff>121920</xdr:colOff>
      <xdr:row>9</xdr:row>
      <xdr:rowOff>45720</xdr:rowOff>
    </xdr:from>
    <xdr:to>
      <xdr:col>46</xdr:col>
      <xdr:colOff>198120</xdr:colOff>
      <xdr:row>34</xdr:row>
      <xdr:rowOff>167640</xdr:rowOff>
    </xdr:to>
    <xdr:grpSp>
      <xdr:nvGrpSpPr>
        <xdr:cNvPr id="66" name="Group 65">
          <a:extLst>
            <a:ext uri="{FF2B5EF4-FFF2-40B4-BE49-F238E27FC236}">
              <a16:creationId xmlns:a16="http://schemas.microsoft.com/office/drawing/2014/main" id="{20182F2E-9CDB-4F35-B7B2-5BC0CC615EC6}"/>
            </a:ext>
          </a:extLst>
        </xdr:cNvPr>
        <xdr:cNvGrpSpPr/>
      </xdr:nvGrpSpPr>
      <xdr:grpSpPr>
        <a:xfrm>
          <a:off x="21457920" y="1691640"/>
          <a:ext cx="6781800" cy="4693920"/>
          <a:chOff x="6659880" y="9128760"/>
          <a:chExt cx="7787640" cy="2956560"/>
        </a:xfrm>
      </xdr:grpSpPr>
      <xdr:grpSp>
        <xdr:nvGrpSpPr>
          <xdr:cNvPr id="67" name="Group 66">
            <a:extLst>
              <a:ext uri="{FF2B5EF4-FFF2-40B4-BE49-F238E27FC236}">
                <a16:creationId xmlns:a16="http://schemas.microsoft.com/office/drawing/2014/main" id="{B54D6E98-4E02-48E1-BF80-5F0C51968216}"/>
              </a:ext>
            </a:extLst>
          </xdr:cNvPr>
          <xdr:cNvGrpSpPr/>
        </xdr:nvGrpSpPr>
        <xdr:grpSpPr>
          <a:xfrm>
            <a:off x="6659880" y="9128760"/>
            <a:ext cx="7787640" cy="2956560"/>
            <a:chOff x="6659880" y="9128760"/>
            <a:chExt cx="9768840" cy="2956560"/>
          </a:xfrm>
        </xdr:grpSpPr>
        <xdr:sp macro="" textlink="">
          <xdr:nvSpPr>
            <xdr:cNvPr id="69" name="Rectangle: Rounded Corners 68">
              <a:extLst>
                <a:ext uri="{FF2B5EF4-FFF2-40B4-BE49-F238E27FC236}">
                  <a16:creationId xmlns:a16="http://schemas.microsoft.com/office/drawing/2014/main" id="{5193963B-18A4-4BBC-85A7-E8B1C11F81D9}"/>
                </a:ext>
              </a:extLst>
            </xdr:cNvPr>
            <xdr:cNvSpPr/>
          </xdr:nvSpPr>
          <xdr:spPr>
            <a:xfrm>
              <a:off x="6659880" y="9128760"/>
              <a:ext cx="9768840" cy="295656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ectangle: Rounded Corners 69">
              <a:extLst>
                <a:ext uri="{FF2B5EF4-FFF2-40B4-BE49-F238E27FC236}">
                  <a16:creationId xmlns:a16="http://schemas.microsoft.com/office/drawing/2014/main" id="{48CDF2B4-28DA-41D3-B013-563DD7F5C0E6}"/>
                </a:ext>
              </a:extLst>
            </xdr:cNvPr>
            <xdr:cNvSpPr/>
          </xdr:nvSpPr>
          <xdr:spPr>
            <a:xfrm>
              <a:off x="6659880" y="9128761"/>
              <a:ext cx="9768840" cy="563880"/>
            </a:xfrm>
            <a:prstGeom prst="roundRect">
              <a:avLst/>
            </a:prstGeom>
            <a:solidFill>
              <a:srgbClr val="8B5CF6"/>
            </a:solid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t>Insights:</a:t>
              </a:r>
            </a:p>
          </xdr:txBody>
        </xdr:sp>
      </xdr:grpSp>
      <xdr:sp macro="" textlink="">
        <xdr:nvSpPr>
          <xdr:cNvPr id="68" name="TextBox 67">
            <a:extLst>
              <a:ext uri="{FF2B5EF4-FFF2-40B4-BE49-F238E27FC236}">
                <a16:creationId xmlns:a16="http://schemas.microsoft.com/office/drawing/2014/main" id="{26F616AE-D715-49FA-B15C-2CB346B5246F}"/>
              </a:ext>
            </a:extLst>
          </xdr:cNvPr>
          <xdr:cNvSpPr txBox="1"/>
        </xdr:nvSpPr>
        <xdr:spPr>
          <a:xfrm>
            <a:off x="6781800" y="9738360"/>
            <a:ext cx="7561731" cy="2148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144000" tIns="144000" rIns="108000" rtlCol="0" anchor="t">
            <a:noAutofit/>
          </a:bodyPr>
          <a:lstStyle/>
          <a:p>
            <a:r>
              <a:rPr lang="az-Latn-AZ" sz="2400"/>
              <a:t>- </a:t>
            </a:r>
            <a:r>
              <a:rPr lang="en-US" sz="2400"/>
              <a:t>Retail leads in overall revenue generation across</a:t>
            </a:r>
            <a:endParaRPr lang="az-Latn-AZ" sz="2400"/>
          </a:p>
          <a:p>
            <a:r>
              <a:rPr lang="en-US" sz="2400"/>
              <a:t> </a:t>
            </a:r>
            <a:r>
              <a:rPr lang="az-Latn-AZ" sz="2400"/>
              <a:t> </a:t>
            </a:r>
            <a:r>
              <a:rPr lang="en-US" sz="2400"/>
              <a:t>industries</a:t>
            </a:r>
            <a:endParaRPr lang="az-Latn-AZ" sz="900"/>
          </a:p>
          <a:p>
            <a:endParaRPr lang="en-US" sz="800"/>
          </a:p>
          <a:p>
            <a:r>
              <a:rPr lang="az-Latn-AZ" sz="2400"/>
              <a:t>- </a:t>
            </a:r>
            <a:r>
              <a:rPr lang="en-US" sz="2400"/>
              <a:t>Technology shows the strongest profitability </a:t>
            </a:r>
            <a:endParaRPr lang="az-Latn-AZ" sz="2400"/>
          </a:p>
          <a:p>
            <a:r>
              <a:rPr lang="az-Latn-AZ" sz="2400"/>
              <a:t>   </a:t>
            </a:r>
            <a:r>
              <a:rPr lang="en-US" sz="2400"/>
              <a:t>performance with a smaller workforce</a:t>
            </a:r>
            <a:endParaRPr lang="az-Latn-AZ" sz="2400"/>
          </a:p>
          <a:p>
            <a:endParaRPr lang="en-US" sz="900"/>
          </a:p>
          <a:p>
            <a:r>
              <a:rPr lang="az-Latn-AZ" sz="2400"/>
              <a:t>- </a:t>
            </a:r>
            <a:r>
              <a:rPr lang="en-US" sz="2400"/>
              <a:t>Finance has high revenue but lower profitability </a:t>
            </a:r>
            <a:endParaRPr lang="az-Latn-AZ" sz="2400"/>
          </a:p>
          <a:p>
            <a:r>
              <a:rPr lang="az-Latn-AZ" sz="2400"/>
              <a:t>   </a:t>
            </a:r>
            <a:r>
              <a:rPr lang="en-US" sz="2400"/>
              <a:t>efficiency</a:t>
            </a:r>
            <a:endParaRPr lang="az-Latn-AZ" sz="2400"/>
          </a:p>
          <a:p>
            <a:endParaRPr lang="en-US" sz="900"/>
          </a:p>
          <a:p>
            <a:r>
              <a:rPr lang="az-Latn-AZ" sz="2400"/>
              <a:t>- </a:t>
            </a:r>
            <a:r>
              <a:rPr lang="en-US" sz="2400"/>
              <a:t>Revenue growth does not always result in strong</a:t>
            </a:r>
            <a:endParaRPr lang="az-Latn-AZ" sz="2400"/>
          </a:p>
          <a:p>
            <a:r>
              <a:rPr lang="az-Latn-AZ" sz="2400" baseline="0"/>
              <a:t>   </a:t>
            </a:r>
            <a:r>
              <a:rPr lang="en-US" sz="2400"/>
              <a:t>profitability performance</a:t>
            </a:r>
          </a:p>
          <a:p>
            <a:pPr lvl="0"/>
            <a:endParaRPr lang="en-US" sz="2300" b="0">
              <a:solidFill>
                <a:srgbClr val="4A4A4A"/>
              </a:solidFill>
            </a:endParaRPr>
          </a:p>
        </xdr:txBody>
      </xdr:sp>
    </xdr:grpSp>
    <xdr:clientData/>
  </xdr:twoCellAnchor>
  <xdr:twoCellAnchor>
    <xdr:from>
      <xdr:col>0</xdr:col>
      <xdr:colOff>228600</xdr:colOff>
      <xdr:row>8</xdr:row>
      <xdr:rowOff>106680</xdr:rowOff>
    </xdr:from>
    <xdr:to>
      <xdr:col>14</xdr:col>
      <xdr:colOff>30480</xdr:colOff>
      <xdr:row>22</xdr:row>
      <xdr:rowOff>45720</xdr:rowOff>
    </xdr:to>
    <xdr:sp macro="" textlink="">
      <xdr:nvSpPr>
        <xdr:cNvPr id="73" name="Rectangle: Rounded Corners 72">
          <a:extLst>
            <a:ext uri="{FF2B5EF4-FFF2-40B4-BE49-F238E27FC236}">
              <a16:creationId xmlns:a16="http://schemas.microsoft.com/office/drawing/2014/main" id="{E124BD55-9954-449A-9F9F-8E09B952593E}"/>
            </a:ext>
          </a:extLst>
        </xdr:cNvPr>
        <xdr:cNvSpPr/>
      </xdr:nvSpPr>
      <xdr:spPr>
        <a:xfrm>
          <a:off x="228600" y="1569720"/>
          <a:ext cx="8336280" cy="249936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289560</xdr:colOff>
      <xdr:row>9</xdr:row>
      <xdr:rowOff>106680</xdr:rowOff>
    </xdr:from>
    <xdr:to>
      <xdr:col>13</xdr:col>
      <xdr:colOff>594360</xdr:colOff>
      <xdr:row>20</xdr:row>
      <xdr:rowOff>137160</xdr:rowOff>
    </xdr:to>
    <xdr:pic>
      <xdr:nvPicPr>
        <xdr:cNvPr id="75" name="Picture 74">
          <a:extLst>
            <a:ext uri="{FF2B5EF4-FFF2-40B4-BE49-F238E27FC236}">
              <a16:creationId xmlns:a16="http://schemas.microsoft.com/office/drawing/2014/main" id="{2C7CB759-7F86-43B9-806C-D948DBACA63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89560" y="1752600"/>
          <a:ext cx="8229600" cy="2042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426720</xdr:colOff>
      <xdr:row>9</xdr:row>
      <xdr:rowOff>45720</xdr:rowOff>
    </xdr:from>
    <xdr:to>
      <xdr:col>34</xdr:col>
      <xdr:colOff>266700</xdr:colOff>
      <xdr:row>66</xdr:row>
      <xdr:rowOff>142240</xdr:rowOff>
    </xdr:to>
    <xdr:grpSp>
      <xdr:nvGrpSpPr>
        <xdr:cNvPr id="29" name="Group 28">
          <a:extLst>
            <a:ext uri="{FF2B5EF4-FFF2-40B4-BE49-F238E27FC236}">
              <a16:creationId xmlns:a16="http://schemas.microsoft.com/office/drawing/2014/main" id="{A28118C2-3A3C-4CC3-B479-BFB6A25ADE82}"/>
            </a:ext>
          </a:extLst>
        </xdr:cNvPr>
        <xdr:cNvGrpSpPr/>
      </xdr:nvGrpSpPr>
      <xdr:grpSpPr>
        <a:xfrm>
          <a:off x="8961120" y="1691640"/>
          <a:ext cx="12031980" cy="10520680"/>
          <a:chOff x="10782300" y="2012767"/>
          <a:chExt cx="10797540" cy="9470504"/>
        </a:xfrm>
      </xdr:grpSpPr>
      <xdr:sp macro="" textlink="">
        <xdr:nvSpPr>
          <xdr:cNvPr id="30" name="Rectangle: Rounded Corners 29">
            <a:extLst>
              <a:ext uri="{FF2B5EF4-FFF2-40B4-BE49-F238E27FC236}">
                <a16:creationId xmlns:a16="http://schemas.microsoft.com/office/drawing/2014/main" id="{25E934C6-5EF9-4501-BC23-36BC1EAA540B}"/>
              </a:ext>
            </a:extLst>
          </xdr:cNvPr>
          <xdr:cNvSpPr/>
        </xdr:nvSpPr>
        <xdr:spPr>
          <a:xfrm>
            <a:off x="10782300" y="2012767"/>
            <a:ext cx="10797540" cy="947050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AF963202-885B-4DD4-B98E-61D84584F923}"/>
              </a:ext>
            </a:extLst>
          </xdr:cNvPr>
          <xdr:cNvGraphicFramePr/>
        </xdr:nvGraphicFramePr>
        <xdr:xfrm>
          <a:off x="11531264" y="2330431"/>
          <a:ext cx="9643713" cy="885572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13</xdr:col>
      <xdr:colOff>43180</xdr:colOff>
      <xdr:row>82</xdr:row>
      <xdr:rowOff>0</xdr:rowOff>
    </xdr:from>
    <xdr:to>
      <xdr:col>26</xdr:col>
      <xdr:colOff>165100</xdr:colOff>
      <xdr:row>125</xdr:row>
      <xdr:rowOff>91440</xdr:rowOff>
    </xdr:to>
    <xdr:sp macro="" textlink="">
      <xdr:nvSpPr>
        <xdr:cNvPr id="33" name="Rectangle: Rounded Corners 32">
          <a:extLst>
            <a:ext uri="{FF2B5EF4-FFF2-40B4-BE49-F238E27FC236}">
              <a16:creationId xmlns:a16="http://schemas.microsoft.com/office/drawing/2014/main" id="{743E9825-E371-4406-8682-2421E7820E8B}"/>
            </a:ext>
          </a:extLst>
        </xdr:cNvPr>
        <xdr:cNvSpPr/>
      </xdr:nvSpPr>
      <xdr:spPr>
        <a:xfrm>
          <a:off x="7967980" y="14996160"/>
          <a:ext cx="8046720" cy="7955280"/>
        </a:xfrm>
        <a:prstGeom prst="roundRect">
          <a:avLst>
            <a:gd name="adj" fmla="val 96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az-Latn-AZ" sz="1100"/>
            <a:t>c</a:t>
          </a:r>
          <a:endParaRPr lang="en-US" sz="1100"/>
        </a:p>
      </xdr:txBody>
    </xdr:sp>
    <xdr:clientData/>
  </xdr:twoCellAnchor>
  <xdr:twoCellAnchor>
    <xdr:from>
      <xdr:col>13</xdr:col>
      <xdr:colOff>27940</xdr:colOff>
      <xdr:row>104</xdr:row>
      <xdr:rowOff>45720</xdr:rowOff>
    </xdr:from>
    <xdr:to>
      <xdr:col>25</xdr:col>
      <xdr:colOff>149860</xdr:colOff>
      <xdr:row>124</xdr:row>
      <xdr:rowOff>45720</xdr:rowOff>
    </xdr:to>
    <xdr:graphicFrame macro="">
      <xdr:nvGraphicFramePr>
        <xdr:cNvPr id="34" name="Chart 33">
          <a:extLst>
            <a:ext uri="{FF2B5EF4-FFF2-40B4-BE49-F238E27FC236}">
              <a16:creationId xmlns:a16="http://schemas.microsoft.com/office/drawing/2014/main" id="{DF06846A-4070-4DE8-B45C-43249D8DF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0</xdr:colOff>
      <xdr:row>82</xdr:row>
      <xdr:rowOff>45720</xdr:rowOff>
    </xdr:from>
    <xdr:to>
      <xdr:col>26</xdr:col>
      <xdr:colOff>271780</xdr:colOff>
      <xdr:row>101</xdr:row>
      <xdr:rowOff>137160</xdr:rowOff>
    </xdr:to>
    <xdr:graphicFrame macro="">
      <xdr:nvGraphicFramePr>
        <xdr:cNvPr id="35" name="Chart 34">
          <a:extLst>
            <a:ext uri="{FF2B5EF4-FFF2-40B4-BE49-F238E27FC236}">
              <a16:creationId xmlns:a16="http://schemas.microsoft.com/office/drawing/2014/main" id="{51930DC4-7FE6-4810-B5C3-6809CBFD4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533400</xdr:colOff>
      <xdr:row>24</xdr:row>
      <xdr:rowOff>106680</xdr:rowOff>
    </xdr:from>
    <xdr:to>
      <xdr:col>13</xdr:col>
      <xdr:colOff>304800</xdr:colOff>
      <xdr:row>45</xdr:row>
      <xdr:rowOff>167640</xdr:rowOff>
    </xdr:to>
    <xdr:graphicFrame macro="">
      <xdr:nvGraphicFramePr>
        <xdr:cNvPr id="7" name="Chart 6">
          <a:extLst>
            <a:ext uri="{FF2B5EF4-FFF2-40B4-BE49-F238E27FC236}">
              <a16:creationId xmlns:a16="http://schemas.microsoft.com/office/drawing/2014/main" id="{671EF01A-28E2-4142-9C28-EC11352ED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30480</xdr:colOff>
      <xdr:row>45</xdr:row>
      <xdr:rowOff>106680</xdr:rowOff>
    </xdr:from>
    <xdr:to>
      <xdr:col>13</xdr:col>
      <xdr:colOff>106680</xdr:colOff>
      <xdr:row>65</xdr:row>
      <xdr:rowOff>137160</xdr:rowOff>
    </xdr:to>
    <xdr:graphicFrame macro="">
      <xdr:nvGraphicFramePr>
        <xdr:cNvPr id="8" name="Chart 7">
          <a:extLst>
            <a:ext uri="{FF2B5EF4-FFF2-40B4-BE49-F238E27FC236}">
              <a16:creationId xmlns:a16="http://schemas.microsoft.com/office/drawing/2014/main" id="{10384398-45E3-4E3C-A335-C56A58A4E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0.10649</cdr:x>
      <cdr:y>0.56053</cdr:y>
    </cdr:from>
    <cdr:to>
      <cdr:x>0.94709</cdr:x>
      <cdr:y>0.56133</cdr:y>
    </cdr:to>
    <cdr:cxnSp macro="">
      <cdr:nvCxnSpPr>
        <cdr:cNvPr id="3" name="Straight Arrow Connector 2">
          <a:extLst xmlns:a="http://schemas.openxmlformats.org/drawingml/2006/main">
            <a:ext uri="{FF2B5EF4-FFF2-40B4-BE49-F238E27FC236}">
              <a16:creationId xmlns:a16="http://schemas.microsoft.com/office/drawing/2014/main" id="{216F9059-0002-4BE1-A0B7-2EC3AF721D0C}"/>
            </a:ext>
          </a:extLst>
        </cdr:cNvPr>
        <cdr:cNvCxnSpPr/>
      </cdr:nvCxnSpPr>
      <cdr:spPr>
        <a:xfrm xmlns:a="http://schemas.openxmlformats.org/drawingml/2006/main">
          <a:off x="915566" y="3472545"/>
          <a:ext cx="7227386" cy="4929"/>
        </a:xfrm>
        <a:prstGeom xmlns:a="http://schemas.openxmlformats.org/drawingml/2006/main" prst="straightConnector1">
          <a:avLst/>
        </a:prstGeom>
        <a:ln xmlns:a="http://schemas.openxmlformats.org/drawingml/2006/main" w="6350">
          <a:solidFill>
            <a:schemeClr val="tx1">
              <a:lumMod val="50000"/>
              <a:lumOff val="50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0.50428</cdr:x>
      <cdr:y>0.13208</cdr:y>
    </cdr:from>
    <cdr:to>
      <cdr:x>0.50428</cdr:x>
      <cdr:y>0.8842</cdr:y>
    </cdr:to>
    <cdr:cxnSp macro="">
      <cdr:nvCxnSpPr>
        <cdr:cNvPr id="8" name="Straight Arrow Connector 7">
          <a:extLst xmlns:a="http://schemas.openxmlformats.org/drawingml/2006/main">
            <a:ext uri="{FF2B5EF4-FFF2-40B4-BE49-F238E27FC236}">
              <a16:creationId xmlns:a16="http://schemas.microsoft.com/office/drawing/2014/main" id="{956E123E-1CB3-4750-8EFF-28EE51B8FF9A}"/>
            </a:ext>
          </a:extLst>
        </cdr:cNvPr>
        <cdr:cNvCxnSpPr/>
      </cdr:nvCxnSpPr>
      <cdr:spPr>
        <a:xfrm xmlns:a="http://schemas.openxmlformats.org/drawingml/2006/main" flipH="1" flipV="1">
          <a:off x="4863132" y="1106203"/>
          <a:ext cx="0" cy="6299192"/>
        </a:xfrm>
        <a:prstGeom xmlns:a="http://schemas.openxmlformats.org/drawingml/2006/main" prst="straightConnector1">
          <a:avLst/>
        </a:prstGeom>
        <a:ln xmlns:a="http://schemas.openxmlformats.org/drawingml/2006/main">
          <a:solidFill>
            <a:schemeClr val="tx1">
              <a:lumMod val="50000"/>
              <a:lumOff val="50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0.65007</cdr:x>
      <cdr:y>0.01683</cdr:y>
    </cdr:from>
    <cdr:to>
      <cdr:x>0.9805</cdr:x>
      <cdr:y>0.10724</cdr:y>
    </cdr:to>
    <cdr:sp macro="" textlink="">
      <cdr:nvSpPr>
        <cdr:cNvPr id="2" name="TextBox 1">
          <a:extLst xmlns:a="http://schemas.openxmlformats.org/drawingml/2006/main">
            <a:ext uri="{FF2B5EF4-FFF2-40B4-BE49-F238E27FC236}">
              <a16:creationId xmlns:a16="http://schemas.microsoft.com/office/drawing/2014/main" id="{0945EEAA-53C2-40AF-8E77-FCA31AFD1F0E}"/>
            </a:ext>
          </a:extLst>
        </cdr:cNvPr>
        <cdr:cNvSpPr txBox="1"/>
      </cdr:nvSpPr>
      <cdr:spPr>
        <a:xfrm xmlns:a="http://schemas.openxmlformats.org/drawingml/2006/main">
          <a:off x="6269057" y="149064"/>
          <a:ext cx="3186646" cy="8006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000" b="1"/>
            <a:t>Stars</a:t>
          </a:r>
          <a:br>
            <a:rPr lang="en-US" sz="2000" b="1"/>
          </a:br>
          <a:r>
            <a:rPr lang="en-US" sz="2000" b="1"/>
            <a:t>High Revenue / High Profit</a:t>
          </a:r>
        </a:p>
      </cdr:txBody>
    </cdr:sp>
  </cdr:relSizeAnchor>
  <cdr:relSizeAnchor xmlns:cdr="http://schemas.openxmlformats.org/drawingml/2006/chartDrawing">
    <cdr:from>
      <cdr:x>0.66745</cdr:x>
      <cdr:y>0.84403</cdr:y>
    </cdr:from>
    <cdr:to>
      <cdr:x>0.98523</cdr:x>
      <cdr:y>0.93444</cdr:y>
    </cdr:to>
    <cdr:sp macro="" textlink="">
      <cdr:nvSpPr>
        <cdr:cNvPr id="5" name="TextBox 1">
          <a:extLst xmlns:a="http://schemas.openxmlformats.org/drawingml/2006/main">
            <a:ext uri="{FF2B5EF4-FFF2-40B4-BE49-F238E27FC236}">
              <a16:creationId xmlns:a16="http://schemas.microsoft.com/office/drawing/2014/main" id="{BFC1A9D2-FFCE-422F-907F-1FAFFD1182EC}"/>
            </a:ext>
          </a:extLst>
        </cdr:cNvPr>
        <cdr:cNvSpPr txBox="1"/>
      </cdr:nvSpPr>
      <cdr:spPr>
        <a:xfrm xmlns:a="http://schemas.openxmlformats.org/drawingml/2006/main">
          <a:off x="6436696" y="7474518"/>
          <a:ext cx="3064579" cy="80064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000" b="1"/>
            <a:t>Volume Players</a:t>
          </a:r>
          <a:br>
            <a:rPr lang="en-US" sz="2000" b="1"/>
          </a:br>
          <a:r>
            <a:rPr lang="en-US" sz="2000" b="1"/>
            <a:t>High Revenue / Low Profit</a:t>
          </a:r>
        </a:p>
      </cdr:txBody>
    </cdr:sp>
  </cdr:relSizeAnchor>
  <cdr:relSizeAnchor xmlns:cdr="http://schemas.openxmlformats.org/drawingml/2006/chartDrawing">
    <cdr:from>
      <cdr:x>0.06673</cdr:x>
      <cdr:y>0.01767</cdr:y>
    </cdr:from>
    <cdr:to>
      <cdr:x>0.4067</cdr:x>
      <cdr:y>0.10808</cdr:y>
    </cdr:to>
    <cdr:sp macro="" textlink="">
      <cdr:nvSpPr>
        <cdr:cNvPr id="6" name="TextBox 1">
          <a:extLst xmlns:a="http://schemas.openxmlformats.org/drawingml/2006/main">
            <a:ext uri="{FF2B5EF4-FFF2-40B4-BE49-F238E27FC236}">
              <a16:creationId xmlns:a16="http://schemas.microsoft.com/office/drawing/2014/main" id="{2CC3CAAA-60F4-4BD1-9B7B-1DD82251DBED}"/>
            </a:ext>
          </a:extLst>
        </cdr:cNvPr>
        <cdr:cNvSpPr txBox="1"/>
      </cdr:nvSpPr>
      <cdr:spPr>
        <a:xfrm xmlns:a="http://schemas.openxmlformats.org/drawingml/2006/main">
          <a:off x="643516" y="156439"/>
          <a:ext cx="3278580" cy="80064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000" b="1"/>
            <a:t>Niche Leaders</a:t>
          </a:r>
          <a:br>
            <a:rPr lang="en-US" sz="2000" b="1"/>
          </a:br>
          <a:r>
            <a:rPr lang="en-US" sz="2000" b="1"/>
            <a:t>Low Revenue / High Profit</a:t>
          </a:r>
        </a:p>
      </cdr:txBody>
    </cdr:sp>
  </cdr:relSizeAnchor>
  <cdr:relSizeAnchor xmlns:cdr="http://schemas.openxmlformats.org/drawingml/2006/chartDrawing">
    <cdr:from>
      <cdr:x>0.08779</cdr:x>
      <cdr:y>0.83088</cdr:y>
    </cdr:from>
    <cdr:to>
      <cdr:x>0.40196</cdr:x>
      <cdr:y>0.92129</cdr:y>
    </cdr:to>
    <cdr:sp macro="" textlink="">
      <cdr:nvSpPr>
        <cdr:cNvPr id="7" name="TextBox 1">
          <a:extLst xmlns:a="http://schemas.openxmlformats.org/drawingml/2006/main">
            <a:ext uri="{FF2B5EF4-FFF2-40B4-BE49-F238E27FC236}">
              <a16:creationId xmlns:a16="http://schemas.microsoft.com/office/drawing/2014/main" id="{F3BD953C-902E-44D9-AE45-6175C8E7F7DB}"/>
            </a:ext>
          </a:extLst>
        </cdr:cNvPr>
        <cdr:cNvSpPr txBox="1"/>
      </cdr:nvSpPr>
      <cdr:spPr>
        <a:xfrm xmlns:a="http://schemas.openxmlformats.org/drawingml/2006/main">
          <a:off x="846644" y="7358064"/>
          <a:ext cx="3029731" cy="80064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000" b="1"/>
            <a:t>Underperformers</a:t>
          </a:r>
          <a:br>
            <a:rPr lang="en-US" sz="2000" b="1"/>
          </a:br>
          <a:r>
            <a:rPr lang="en-US" sz="2000" b="1"/>
            <a:t>Low Revenue / Low Profit</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129542</xdr:colOff>
      <xdr:row>0</xdr:row>
      <xdr:rowOff>45720</xdr:rowOff>
    </xdr:from>
    <xdr:to>
      <xdr:col>16</xdr:col>
      <xdr:colOff>152400</xdr:colOff>
      <xdr:row>6</xdr:row>
      <xdr:rowOff>91440</xdr:rowOff>
    </xdr:to>
    <xdr:grpSp>
      <xdr:nvGrpSpPr>
        <xdr:cNvPr id="2" name="Group 1">
          <a:extLst>
            <a:ext uri="{FF2B5EF4-FFF2-40B4-BE49-F238E27FC236}">
              <a16:creationId xmlns:a16="http://schemas.microsoft.com/office/drawing/2014/main" id="{421052FA-708D-4D1C-9874-BAAA9FF72AF5}"/>
            </a:ext>
          </a:extLst>
        </xdr:cNvPr>
        <xdr:cNvGrpSpPr/>
      </xdr:nvGrpSpPr>
      <xdr:grpSpPr>
        <a:xfrm>
          <a:off x="129542" y="45720"/>
          <a:ext cx="9776458" cy="1143000"/>
          <a:chOff x="129541" y="0"/>
          <a:chExt cx="6149339" cy="1098560"/>
        </a:xfrm>
      </xdr:grpSpPr>
      <xdr:sp macro="" textlink="">
        <xdr:nvSpPr>
          <xdr:cNvPr id="3" name="Text Box 1">
            <a:extLst>
              <a:ext uri="{FF2B5EF4-FFF2-40B4-BE49-F238E27FC236}">
                <a16:creationId xmlns:a16="http://schemas.microsoft.com/office/drawing/2014/main" id="{2BE0BE23-4007-4C96-87E1-25EF1866ADDB}"/>
              </a:ext>
            </a:extLst>
          </xdr:cNvPr>
          <xdr:cNvSpPr txBox="1">
            <a:spLocks noChangeArrowheads="1"/>
          </xdr:cNvSpPr>
        </xdr:nvSpPr>
        <xdr:spPr bwMode="auto">
          <a:xfrm>
            <a:off x="960120" y="0"/>
            <a:ext cx="5318760" cy="54864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4000" b="1" i="0" u="none" strike="noStrike" baseline="0">
                <a:solidFill>
                  <a:schemeClr val="bg1"/>
                </a:solidFill>
                <a:latin typeface="+mn-lt"/>
                <a:ea typeface="Calibri"/>
                <a:cs typeface="Calibri"/>
              </a:rPr>
              <a:t>SWOT Intelligence</a:t>
            </a:r>
            <a:r>
              <a:rPr lang="az-Latn-AZ" sz="4000" b="1" i="0" u="none" strike="noStrike" baseline="0">
                <a:solidFill>
                  <a:schemeClr val="bg1"/>
                </a:solidFill>
                <a:latin typeface="+mn-lt"/>
                <a:ea typeface="Calibri"/>
                <a:cs typeface="Calibri"/>
              </a:rPr>
              <a:t> </a:t>
            </a:r>
            <a:r>
              <a:rPr lang="en-US" sz="4000" b="1" i="0" u="none" strike="noStrike" baseline="0">
                <a:solidFill>
                  <a:schemeClr val="bg1"/>
                </a:solidFill>
                <a:latin typeface="+mn-lt"/>
                <a:ea typeface="Calibri"/>
                <a:cs typeface="Calibri"/>
              </a:rPr>
              <a:t>Dashboard</a:t>
            </a:r>
          </a:p>
        </xdr:txBody>
      </xdr:sp>
      <xdr:sp macro="" textlink="">
        <xdr:nvSpPr>
          <xdr:cNvPr id="4" name="TextBox 3">
            <a:extLst>
              <a:ext uri="{FF2B5EF4-FFF2-40B4-BE49-F238E27FC236}">
                <a16:creationId xmlns:a16="http://schemas.microsoft.com/office/drawing/2014/main" id="{A805A83C-58F4-4A00-AB7C-CA8BE499228F}"/>
              </a:ext>
            </a:extLst>
          </xdr:cNvPr>
          <xdr:cNvSpPr txBox="1"/>
        </xdr:nvSpPr>
        <xdr:spPr>
          <a:xfrm>
            <a:off x="937260" y="611294"/>
            <a:ext cx="3648160" cy="449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solidFill>
              </a:rPr>
              <a:t>SWOT-Based Industry Performance Analysis</a:t>
            </a:r>
          </a:p>
        </xdr:txBody>
      </xdr:sp>
      <xdr:pic>
        <xdr:nvPicPr>
          <xdr:cNvPr id="5" name="Graphic 4" descr="Brain in head with solid fill">
            <a:extLst>
              <a:ext uri="{FF2B5EF4-FFF2-40B4-BE49-F238E27FC236}">
                <a16:creationId xmlns:a16="http://schemas.microsoft.com/office/drawing/2014/main" id="{DE4ED0F4-3AF3-4639-92CE-A1011646CA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9541" y="68580"/>
            <a:ext cx="742904" cy="1029980"/>
          </a:xfrm>
          <a:prstGeom prst="rect">
            <a:avLst/>
          </a:prstGeom>
        </xdr:spPr>
      </xdr:pic>
    </xdr:grpSp>
    <xdr:clientData/>
  </xdr:twoCellAnchor>
  <xdr:oneCellAnchor>
    <xdr:from>
      <xdr:col>21</xdr:col>
      <xdr:colOff>533400</xdr:colOff>
      <xdr:row>1</xdr:row>
      <xdr:rowOff>91440</xdr:rowOff>
    </xdr:from>
    <xdr:ext cx="3799475" cy="656421"/>
    <xdr:sp macro="" textlink="">
      <xdr:nvSpPr>
        <xdr:cNvPr id="20" name="TextBox 19">
          <a:hlinkClick xmlns:r="http://schemas.openxmlformats.org/officeDocument/2006/relationships" r:id="rId3"/>
          <a:extLst>
            <a:ext uri="{FF2B5EF4-FFF2-40B4-BE49-F238E27FC236}">
              <a16:creationId xmlns:a16="http://schemas.microsoft.com/office/drawing/2014/main" id="{69E813F2-F273-4D3D-80F2-949FB45224CE}"/>
            </a:ext>
          </a:extLst>
        </xdr:cNvPr>
        <xdr:cNvSpPr txBox="1"/>
      </xdr:nvSpPr>
      <xdr:spPr>
        <a:xfrm>
          <a:off x="13335000" y="274320"/>
          <a:ext cx="3799475" cy="656421"/>
        </a:xfrm>
        <a:prstGeom prst="roundRect">
          <a:avLst/>
        </a:prstGeom>
        <a:solidFill>
          <a:srgbClr val="8B5CF6"/>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u="none">
              <a:solidFill>
                <a:srgbClr val="E9D5FF"/>
              </a:solidFill>
            </a:rPr>
            <a:t>Executive Dashboard</a:t>
          </a:r>
        </a:p>
      </xdr:txBody>
    </xdr:sp>
    <xdr:clientData/>
  </xdr:oneCellAnchor>
  <xdr:twoCellAnchor>
    <xdr:from>
      <xdr:col>37</xdr:col>
      <xdr:colOff>45720</xdr:colOff>
      <xdr:row>7</xdr:row>
      <xdr:rowOff>137160</xdr:rowOff>
    </xdr:from>
    <xdr:to>
      <xdr:col>46</xdr:col>
      <xdr:colOff>411480</xdr:colOff>
      <xdr:row>35</xdr:row>
      <xdr:rowOff>15240</xdr:rowOff>
    </xdr:to>
    <xdr:sp macro="" textlink="">
      <xdr:nvSpPr>
        <xdr:cNvPr id="44" name="Rectangle: Rounded Corners 43">
          <a:extLst>
            <a:ext uri="{FF2B5EF4-FFF2-40B4-BE49-F238E27FC236}">
              <a16:creationId xmlns:a16="http://schemas.microsoft.com/office/drawing/2014/main" id="{C39CF0AD-BAE9-488F-A77B-0ECCC048668B}"/>
            </a:ext>
          </a:extLst>
        </xdr:cNvPr>
        <xdr:cNvSpPr/>
      </xdr:nvSpPr>
      <xdr:spPr>
        <a:xfrm>
          <a:off x="22600920" y="1417320"/>
          <a:ext cx="5852160" cy="499872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35</xdr:col>
      <xdr:colOff>289560</xdr:colOff>
      <xdr:row>1</xdr:row>
      <xdr:rowOff>91440</xdr:rowOff>
    </xdr:from>
    <xdr:ext cx="3336453" cy="656421"/>
    <xdr:sp macro="" textlink="">
      <xdr:nvSpPr>
        <xdr:cNvPr id="21" name="TextBox 20">
          <a:hlinkClick xmlns:r="http://schemas.openxmlformats.org/officeDocument/2006/relationships" r:id="rId4"/>
          <a:extLst>
            <a:ext uri="{FF2B5EF4-FFF2-40B4-BE49-F238E27FC236}">
              <a16:creationId xmlns:a16="http://schemas.microsoft.com/office/drawing/2014/main" id="{E86D0F76-F2A1-4EC7-9E4F-67402A51DBFF}"/>
            </a:ext>
          </a:extLst>
        </xdr:cNvPr>
        <xdr:cNvSpPr txBox="1"/>
      </xdr:nvSpPr>
      <xdr:spPr>
        <a:xfrm>
          <a:off x="21625560" y="274320"/>
          <a:ext cx="3336453"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u="sng">
              <a:solidFill>
                <a:srgbClr val="E9D5FF"/>
              </a:solidFill>
            </a:rPr>
            <a:t>SWOT</a:t>
          </a:r>
          <a:r>
            <a:rPr lang="az-Latn-AZ" sz="3200" b="1" u="sng">
              <a:solidFill>
                <a:srgbClr val="E9D5FF"/>
              </a:solidFill>
            </a:rPr>
            <a:t> </a:t>
          </a:r>
          <a:r>
            <a:rPr lang="en-US" sz="3200" b="1" u="sng">
              <a:solidFill>
                <a:srgbClr val="E9D5FF"/>
              </a:solidFill>
            </a:rPr>
            <a:t>Intelligence</a:t>
          </a:r>
          <a:endParaRPr lang="en-US" sz="2800" b="1" u="sng">
            <a:solidFill>
              <a:srgbClr val="E9D5FF"/>
            </a:solidFill>
          </a:endParaRPr>
        </a:p>
      </xdr:txBody>
    </xdr:sp>
    <xdr:clientData/>
  </xdr:oneCellAnchor>
  <xdr:twoCellAnchor>
    <xdr:from>
      <xdr:col>17</xdr:col>
      <xdr:colOff>76200</xdr:colOff>
      <xdr:row>36</xdr:row>
      <xdr:rowOff>30480</xdr:rowOff>
    </xdr:from>
    <xdr:to>
      <xdr:col>27</xdr:col>
      <xdr:colOff>304800</xdr:colOff>
      <xdr:row>67</xdr:row>
      <xdr:rowOff>137160</xdr:rowOff>
    </xdr:to>
    <xdr:sp macro="" textlink="">
      <xdr:nvSpPr>
        <xdr:cNvPr id="43" name="Rectangle: Rounded Corners 42">
          <a:extLst>
            <a:ext uri="{FF2B5EF4-FFF2-40B4-BE49-F238E27FC236}">
              <a16:creationId xmlns:a16="http://schemas.microsoft.com/office/drawing/2014/main" id="{EB723123-B810-4165-B8DA-8640BB174A84}"/>
            </a:ext>
          </a:extLst>
        </xdr:cNvPr>
        <xdr:cNvSpPr/>
      </xdr:nvSpPr>
      <xdr:spPr>
        <a:xfrm>
          <a:off x="10439400" y="6614160"/>
          <a:ext cx="6324600" cy="577596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41</xdr:col>
      <xdr:colOff>259080</xdr:colOff>
      <xdr:row>1</xdr:row>
      <xdr:rowOff>91440</xdr:rowOff>
    </xdr:from>
    <xdr:ext cx="2699318" cy="656421"/>
    <xdr:sp macro="" textlink="">
      <xdr:nvSpPr>
        <xdr:cNvPr id="22" name="TextBox 21">
          <a:hlinkClick xmlns:r="http://schemas.openxmlformats.org/officeDocument/2006/relationships" r:id="rId5"/>
          <a:extLst>
            <a:ext uri="{FF2B5EF4-FFF2-40B4-BE49-F238E27FC236}">
              <a16:creationId xmlns:a16="http://schemas.microsoft.com/office/drawing/2014/main" id="{3E706101-5F2A-4419-A3E5-F7D7E437106C}"/>
            </a:ext>
          </a:extLst>
        </xdr:cNvPr>
        <xdr:cNvSpPr txBox="1"/>
      </xdr:nvSpPr>
      <xdr:spPr>
        <a:xfrm>
          <a:off x="25252680" y="274320"/>
          <a:ext cx="2699318"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rgbClr val="E9D5FF"/>
              </a:solidFill>
            </a:rPr>
            <a:t>Risk &amp; Growth</a:t>
          </a:r>
        </a:p>
      </xdr:txBody>
    </xdr:sp>
    <xdr:clientData/>
  </xdr:oneCellAnchor>
  <xdr:twoCellAnchor>
    <xdr:from>
      <xdr:col>6</xdr:col>
      <xdr:colOff>533400</xdr:colOff>
      <xdr:row>35</xdr:row>
      <xdr:rowOff>121920</xdr:rowOff>
    </xdr:from>
    <xdr:to>
      <xdr:col>16</xdr:col>
      <xdr:colOff>579120</xdr:colOff>
      <xdr:row>68</xdr:row>
      <xdr:rowOff>30480</xdr:rowOff>
    </xdr:to>
    <xdr:sp macro="" textlink="">
      <xdr:nvSpPr>
        <xdr:cNvPr id="42" name="Rectangle: Rounded Corners 41">
          <a:extLst>
            <a:ext uri="{FF2B5EF4-FFF2-40B4-BE49-F238E27FC236}">
              <a16:creationId xmlns:a16="http://schemas.microsoft.com/office/drawing/2014/main" id="{DE391EB5-66EC-45A5-BECF-A8B40D97A1AB}"/>
            </a:ext>
          </a:extLst>
        </xdr:cNvPr>
        <xdr:cNvSpPr/>
      </xdr:nvSpPr>
      <xdr:spPr>
        <a:xfrm>
          <a:off x="4191000" y="6522720"/>
          <a:ext cx="6141720" cy="5943600"/>
        </a:xfrm>
        <a:prstGeom prst="roundRect">
          <a:avLst>
            <a:gd name="adj" fmla="val 1230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28</xdr:col>
      <xdr:colOff>502920</xdr:colOff>
      <xdr:row>1</xdr:row>
      <xdr:rowOff>91440</xdr:rowOff>
    </xdr:from>
    <xdr:ext cx="3588422" cy="656421"/>
    <xdr:sp macro="" textlink="">
      <xdr:nvSpPr>
        <xdr:cNvPr id="23" name="TextBox 22">
          <a:hlinkClick xmlns:r="http://schemas.openxmlformats.org/officeDocument/2006/relationships" r:id="rId6"/>
          <a:extLst>
            <a:ext uri="{FF2B5EF4-FFF2-40B4-BE49-F238E27FC236}">
              <a16:creationId xmlns:a16="http://schemas.microsoft.com/office/drawing/2014/main" id="{65A34EC6-C13F-4D06-A313-71676FF7AB01}"/>
            </a:ext>
          </a:extLst>
        </xdr:cNvPr>
        <xdr:cNvSpPr txBox="1"/>
      </xdr:nvSpPr>
      <xdr:spPr>
        <a:xfrm>
          <a:off x="17571720" y="274320"/>
          <a:ext cx="3588422"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u="none">
              <a:solidFill>
                <a:srgbClr val="E9D5FF"/>
              </a:solidFill>
            </a:rPr>
            <a:t>I</a:t>
          </a:r>
          <a:r>
            <a:rPr lang="az-Latn-AZ" sz="3200" b="1" u="none">
              <a:solidFill>
                <a:srgbClr val="E9D5FF"/>
              </a:solidFill>
            </a:rPr>
            <a:t>ndustry</a:t>
          </a:r>
          <a:r>
            <a:rPr lang="az-Latn-AZ" sz="2800" b="1" u="none">
              <a:solidFill>
                <a:srgbClr val="E9D5FF"/>
              </a:solidFill>
            </a:rPr>
            <a:t> </a:t>
          </a:r>
          <a:r>
            <a:rPr lang="az-Latn-AZ" sz="3200" b="1" u="none">
              <a:solidFill>
                <a:srgbClr val="E9D5FF"/>
              </a:solidFill>
            </a:rPr>
            <a:t>Companies</a:t>
          </a:r>
          <a:endParaRPr lang="en-US" sz="2800" b="1" u="none">
            <a:solidFill>
              <a:srgbClr val="E9D5FF"/>
            </a:solidFill>
          </a:endParaRPr>
        </a:p>
      </xdr:txBody>
    </xdr:sp>
    <xdr:clientData/>
  </xdr:oneCellAnchor>
  <xdr:twoCellAnchor>
    <xdr:from>
      <xdr:col>6</xdr:col>
      <xdr:colOff>594360</xdr:colOff>
      <xdr:row>36</xdr:row>
      <xdr:rowOff>45720</xdr:rowOff>
    </xdr:from>
    <xdr:to>
      <xdr:col>16</xdr:col>
      <xdr:colOff>426720</xdr:colOff>
      <xdr:row>67</xdr:row>
      <xdr:rowOff>137160</xdr:rowOff>
    </xdr:to>
    <xdr:graphicFrame macro="">
      <xdr:nvGraphicFramePr>
        <xdr:cNvPr id="24" name="Chart 23">
          <a:extLst>
            <a:ext uri="{FF2B5EF4-FFF2-40B4-BE49-F238E27FC236}">
              <a16:creationId xmlns:a16="http://schemas.microsoft.com/office/drawing/2014/main" id="{DC4DCFDE-AA37-4885-8AF8-286A70D9A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579120</xdr:colOff>
      <xdr:row>7</xdr:row>
      <xdr:rowOff>152400</xdr:rowOff>
    </xdr:from>
    <xdr:to>
      <xdr:col>36</xdr:col>
      <xdr:colOff>228600</xdr:colOff>
      <xdr:row>34</xdr:row>
      <xdr:rowOff>30480</xdr:rowOff>
    </xdr:to>
    <xdr:sp macro="" textlink="">
      <xdr:nvSpPr>
        <xdr:cNvPr id="41" name="Rectangle: Rounded Corners 40">
          <a:extLst>
            <a:ext uri="{FF2B5EF4-FFF2-40B4-BE49-F238E27FC236}">
              <a16:creationId xmlns:a16="http://schemas.microsoft.com/office/drawing/2014/main" id="{C591977F-8CB3-4352-9B15-A4BB85611D02}"/>
            </a:ext>
          </a:extLst>
        </xdr:cNvPr>
        <xdr:cNvSpPr/>
      </xdr:nvSpPr>
      <xdr:spPr>
        <a:xfrm>
          <a:off x="16428720" y="1432560"/>
          <a:ext cx="5745480" cy="481584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411480</xdr:colOff>
      <xdr:row>36</xdr:row>
      <xdr:rowOff>30480</xdr:rowOff>
    </xdr:from>
    <xdr:to>
      <xdr:col>46</xdr:col>
      <xdr:colOff>350520</xdr:colOff>
      <xdr:row>66</xdr:row>
      <xdr:rowOff>91440</xdr:rowOff>
    </xdr:to>
    <xdr:sp macro="" textlink="">
      <xdr:nvSpPr>
        <xdr:cNvPr id="45" name="Rectangle: Rounded Corners 44">
          <a:extLst>
            <a:ext uri="{FF2B5EF4-FFF2-40B4-BE49-F238E27FC236}">
              <a16:creationId xmlns:a16="http://schemas.microsoft.com/office/drawing/2014/main" id="{4C69CF96-4721-43FB-A33B-EF28773016C4}"/>
            </a:ext>
          </a:extLst>
        </xdr:cNvPr>
        <xdr:cNvSpPr/>
      </xdr:nvSpPr>
      <xdr:spPr>
        <a:xfrm>
          <a:off x="23576280" y="6614160"/>
          <a:ext cx="4815840" cy="554736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76200</xdr:colOff>
      <xdr:row>38</xdr:row>
      <xdr:rowOff>45720</xdr:rowOff>
    </xdr:from>
    <xdr:to>
      <xdr:col>46</xdr:col>
      <xdr:colOff>381000</xdr:colOff>
      <xdr:row>69</xdr:row>
      <xdr:rowOff>91440</xdr:rowOff>
    </xdr:to>
    <xdr:graphicFrame macro="">
      <xdr:nvGraphicFramePr>
        <xdr:cNvPr id="25" name="Chart 24">
          <a:extLst>
            <a:ext uri="{FF2B5EF4-FFF2-40B4-BE49-F238E27FC236}">
              <a16:creationId xmlns:a16="http://schemas.microsoft.com/office/drawing/2014/main" id="{2395870B-3BA1-4A1F-BA26-10485A489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426720</xdr:colOff>
      <xdr:row>35</xdr:row>
      <xdr:rowOff>137160</xdr:rowOff>
    </xdr:from>
    <xdr:to>
      <xdr:col>38</xdr:col>
      <xdr:colOff>289560</xdr:colOff>
      <xdr:row>67</xdr:row>
      <xdr:rowOff>76200</xdr:rowOff>
    </xdr:to>
    <xdr:sp macro="" textlink="">
      <xdr:nvSpPr>
        <xdr:cNvPr id="46" name="Rectangle: Rounded Corners 45">
          <a:extLst>
            <a:ext uri="{FF2B5EF4-FFF2-40B4-BE49-F238E27FC236}">
              <a16:creationId xmlns:a16="http://schemas.microsoft.com/office/drawing/2014/main" id="{0845F249-9F2F-4FEE-BBC4-59952A6C2C66}"/>
            </a:ext>
          </a:extLst>
        </xdr:cNvPr>
        <xdr:cNvSpPr/>
      </xdr:nvSpPr>
      <xdr:spPr>
        <a:xfrm>
          <a:off x="16885920" y="6537960"/>
          <a:ext cx="6568440" cy="57912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548640</xdr:colOff>
      <xdr:row>8</xdr:row>
      <xdr:rowOff>15240</xdr:rowOff>
    </xdr:from>
    <xdr:to>
      <xdr:col>26</xdr:col>
      <xdr:colOff>213360</xdr:colOff>
      <xdr:row>34</xdr:row>
      <xdr:rowOff>60960</xdr:rowOff>
    </xdr:to>
    <xdr:sp macro="" textlink="">
      <xdr:nvSpPr>
        <xdr:cNvPr id="40" name="Rectangle: Rounded Corners 39">
          <a:extLst>
            <a:ext uri="{FF2B5EF4-FFF2-40B4-BE49-F238E27FC236}">
              <a16:creationId xmlns:a16="http://schemas.microsoft.com/office/drawing/2014/main" id="{3DEA6315-FE45-4A83-BC5F-C3482F7B135D}"/>
            </a:ext>
          </a:extLst>
        </xdr:cNvPr>
        <xdr:cNvSpPr/>
      </xdr:nvSpPr>
      <xdr:spPr>
        <a:xfrm>
          <a:off x="10302240" y="1478280"/>
          <a:ext cx="5760720" cy="4800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335280</xdr:colOff>
      <xdr:row>35</xdr:row>
      <xdr:rowOff>137160</xdr:rowOff>
    </xdr:from>
    <xdr:to>
      <xdr:col>38</xdr:col>
      <xdr:colOff>182880</xdr:colOff>
      <xdr:row>67</xdr:row>
      <xdr:rowOff>15240</xdr:rowOff>
    </xdr:to>
    <xdr:graphicFrame macro="">
      <xdr:nvGraphicFramePr>
        <xdr:cNvPr id="26" name="Chart 25">
          <a:extLst>
            <a:ext uri="{FF2B5EF4-FFF2-40B4-BE49-F238E27FC236}">
              <a16:creationId xmlns:a16="http://schemas.microsoft.com/office/drawing/2014/main" id="{BF7DFCBF-F301-41FA-87B8-9D976AF9E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579120</xdr:colOff>
      <xdr:row>8</xdr:row>
      <xdr:rowOff>45720</xdr:rowOff>
    </xdr:from>
    <xdr:to>
      <xdr:col>16</xdr:col>
      <xdr:colOff>335280</xdr:colOff>
      <xdr:row>34</xdr:row>
      <xdr:rowOff>60960</xdr:rowOff>
    </xdr:to>
    <xdr:sp macro="" textlink="">
      <xdr:nvSpPr>
        <xdr:cNvPr id="39" name="Rectangle: Rounded Corners 38">
          <a:extLst>
            <a:ext uri="{FF2B5EF4-FFF2-40B4-BE49-F238E27FC236}">
              <a16:creationId xmlns:a16="http://schemas.microsoft.com/office/drawing/2014/main" id="{5CAC94A7-DF51-4B06-913F-C48503BB8E29}"/>
            </a:ext>
          </a:extLst>
        </xdr:cNvPr>
        <xdr:cNvSpPr/>
      </xdr:nvSpPr>
      <xdr:spPr>
        <a:xfrm>
          <a:off x="4236720" y="1508760"/>
          <a:ext cx="5852160" cy="477012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0</xdr:colOff>
      <xdr:row>8</xdr:row>
      <xdr:rowOff>15240</xdr:rowOff>
    </xdr:from>
    <xdr:to>
      <xdr:col>16</xdr:col>
      <xdr:colOff>259080</xdr:colOff>
      <xdr:row>34</xdr:row>
      <xdr:rowOff>76200</xdr:rowOff>
    </xdr:to>
    <xdr:graphicFrame macro="">
      <xdr:nvGraphicFramePr>
        <xdr:cNvPr id="27" name="Chart 26">
          <a:extLst>
            <a:ext uri="{FF2B5EF4-FFF2-40B4-BE49-F238E27FC236}">
              <a16:creationId xmlns:a16="http://schemas.microsoft.com/office/drawing/2014/main" id="{898D2AC1-68D8-4EE2-9EAE-DB76D29B9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30480</xdr:colOff>
      <xdr:row>8</xdr:row>
      <xdr:rowOff>15240</xdr:rowOff>
    </xdr:from>
    <xdr:to>
      <xdr:col>26</xdr:col>
      <xdr:colOff>259080</xdr:colOff>
      <xdr:row>34</xdr:row>
      <xdr:rowOff>0</xdr:rowOff>
    </xdr:to>
    <xdr:graphicFrame macro="">
      <xdr:nvGraphicFramePr>
        <xdr:cNvPr id="28" name="Chart 27">
          <a:extLst>
            <a:ext uri="{FF2B5EF4-FFF2-40B4-BE49-F238E27FC236}">
              <a16:creationId xmlns:a16="http://schemas.microsoft.com/office/drawing/2014/main" id="{DBB7C963-82A8-4241-939C-8649E60AD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30480</xdr:colOff>
      <xdr:row>8</xdr:row>
      <xdr:rowOff>15240</xdr:rowOff>
    </xdr:from>
    <xdr:to>
      <xdr:col>36</xdr:col>
      <xdr:colOff>243840</xdr:colOff>
      <xdr:row>34</xdr:row>
      <xdr:rowOff>106680</xdr:rowOff>
    </xdr:to>
    <xdr:graphicFrame macro="">
      <xdr:nvGraphicFramePr>
        <xdr:cNvPr id="29" name="Chart 28">
          <a:extLst>
            <a:ext uri="{FF2B5EF4-FFF2-40B4-BE49-F238E27FC236}">
              <a16:creationId xmlns:a16="http://schemas.microsoft.com/office/drawing/2014/main" id="{BBF40E75-8FCB-4998-B435-3DE0DBF51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152400</xdr:colOff>
      <xdr:row>8</xdr:row>
      <xdr:rowOff>15240</xdr:rowOff>
    </xdr:from>
    <xdr:to>
      <xdr:col>46</xdr:col>
      <xdr:colOff>350520</xdr:colOff>
      <xdr:row>34</xdr:row>
      <xdr:rowOff>76200</xdr:rowOff>
    </xdr:to>
    <xdr:graphicFrame macro="">
      <xdr:nvGraphicFramePr>
        <xdr:cNvPr id="30" name="Chart 29">
          <a:extLst>
            <a:ext uri="{FF2B5EF4-FFF2-40B4-BE49-F238E27FC236}">
              <a16:creationId xmlns:a16="http://schemas.microsoft.com/office/drawing/2014/main" id="{D72618B0-E822-4CD7-8468-B16783CDF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274320</xdr:colOff>
      <xdr:row>7</xdr:row>
      <xdr:rowOff>167640</xdr:rowOff>
    </xdr:from>
    <xdr:to>
      <xdr:col>6</xdr:col>
      <xdr:colOff>304800</xdr:colOff>
      <xdr:row>67</xdr:row>
      <xdr:rowOff>45720</xdr:rowOff>
    </xdr:to>
    <xdr:grpSp>
      <xdr:nvGrpSpPr>
        <xdr:cNvPr id="32" name="Group 31">
          <a:extLst>
            <a:ext uri="{FF2B5EF4-FFF2-40B4-BE49-F238E27FC236}">
              <a16:creationId xmlns:a16="http://schemas.microsoft.com/office/drawing/2014/main" id="{7E32DB3A-C5D4-45B2-BC84-D651E7A3CBCC}"/>
            </a:ext>
          </a:extLst>
        </xdr:cNvPr>
        <xdr:cNvGrpSpPr/>
      </xdr:nvGrpSpPr>
      <xdr:grpSpPr>
        <a:xfrm>
          <a:off x="274320" y="1447800"/>
          <a:ext cx="3688080" cy="10850880"/>
          <a:chOff x="198120" y="1371600"/>
          <a:chExt cx="5242560" cy="10850880"/>
        </a:xfrm>
      </xdr:grpSpPr>
      <mc:AlternateContent xmlns:mc="http://schemas.openxmlformats.org/markup-compatibility/2006" xmlns:a14="http://schemas.microsoft.com/office/drawing/2010/main">
        <mc:Choice Requires="a14">
          <xdr:graphicFrame macro="">
            <xdr:nvGraphicFramePr>
              <xdr:cNvPr id="33" name="industry 1">
                <a:extLst>
                  <a:ext uri="{FF2B5EF4-FFF2-40B4-BE49-F238E27FC236}">
                    <a16:creationId xmlns:a16="http://schemas.microsoft.com/office/drawing/2014/main" id="{A06A93D2-43A8-4C40-B642-3356DDAF00EF}"/>
                  </a:ext>
                </a:extLst>
              </xdr:cNvPr>
              <xdr:cNvGraphicFramePr>
                <a:graphicFrameLocks/>
              </xdr:cNvGraphicFramePr>
            </xdr:nvGraphicFramePr>
            <xdr:xfrm>
              <a:off x="363618" y="1653540"/>
              <a:ext cx="4619863" cy="361950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390746" y="1729740"/>
                <a:ext cx="3250020" cy="361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Market Position 1">
                <a:extLst>
                  <a:ext uri="{FF2B5EF4-FFF2-40B4-BE49-F238E27FC236}">
                    <a16:creationId xmlns:a16="http://schemas.microsoft.com/office/drawing/2014/main" id="{6C67116F-410E-4C38-99B2-7EF6253F4BCA}"/>
                  </a:ext>
                </a:extLst>
              </xdr:cNvPr>
              <xdr:cNvGraphicFramePr/>
            </xdr:nvGraphicFramePr>
            <xdr:xfrm>
              <a:off x="358090" y="9037320"/>
              <a:ext cx="4503470" cy="2773680"/>
            </xdr:xfrm>
            <a:graphic>
              <a:graphicData uri="http://schemas.microsoft.com/office/drawing/2010/slicer">
                <sle:slicer xmlns:sle="http://schemas.microsoft.com/office/drawing/2010/slicer" name="Market Position 1"/>
              </a:graphicData>
            </a:graphic>
          </xdr:graphicFrame>
        </mc:Choice>
        <mc:Fallback xmlns="">
          <xdr:sp macro="" textlink="">
            <xdr:nvSpPr>
              <xdr:cNvPr id="0" name=""/>
              <xdr:cNvSpPr>
                <a:spLocks noTextEdit="1"/>
              </xdr:cNvSpPr>
            </xdr:nvSpPr>
            <xdr:spPr>
              <a:xfrm>
                <a:off x="386857" y="9113520"/>
                <a:ext cx="3168139" cy="2773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swot_rating 1">
                <a:extLst>
                  <a:ext uri="{FF2B5EF4-FFF2-40B4-BE49-F238E27FC236}">
                    <a16:creationId xmlns:a16="http://schemas.microsoft.com/office/drawing/2014/main" id="{B0958535-9964-4967-BE54-0868E68067EA}"/>
                  </a:ext>
                </a:extLst>
              </xdr:cNvPr>
              <xdr:cNvGraphicFramePr/>
            </xdr:nvGraphicFramePr>
            <xdr:xfrm>
              <a:off x="349764" y="5722620"/>
              <a:ext cx="4603236" cy="2857500"/>
            </xdr:xfrm>
            <a:graphic>
              <a:graphicData uri="http://schemas.microsoft.com/office/drawing/2010/slicer">
                <sle:slicer xmlns:sle="http://schemas.microsoft.com/office/drawing/2010/slicer" name="swot_rating 1"/>
              </a:graphicData>
            </a:graphic>
          </xdr:graphicFrame>
        </mc:Choice>
        <mc:Fallback xmlns="">
          <xdr:sp macro="" textlink="">
            <xdr:nvSpPr>
              <xdr:cNvPr id="0" name=""/>
              <xdr:cNvSpPr>
                <a:spLocks noTextEdit="1"/>
              </xdr:cNvSpPr>
            </xdr:nvSpPr>
            <xdr:spPr>
              <a:xfrm>
                <a:off x="381000" y="5798820"/>
                <a:ext cx="3238323"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6" name="Rectangle: Rounded Corners 35">
            <a:extLst>
              <a:ext uri="{FF2B5EF4-FFF2-40B4-BE49-F238E27FC236}">
                <a16:creationId xmlns:a16="http://schemas.microsoft.com/office/drawing/2014/main" id="{A4A0DEFD-CB4F-4B3E-9E1A-209F61CA4874}"/>
              </a:ext>
            </a:extLst>
          </xdr:cNvPr>
          <xdr:cNvSpPr/>
        </xdr:nvSpPr>
        <xdr:spPr>
          <a:xfrm>
            <a:off x="198120" y="1371600"/>
            <a:ext cx="5242560" cy="1085088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38100</xdr:colOff>
      <xdr:row>36</xdr:row>
      <xdr:rowOff>95250</xdr:rowOff>
    </xdr:from>
    <xdr:to>
      <xdr:col>26</xdr:col>
      <xdr:colOff>590550</xdr:colOff>
      <xdr:row>66</xdr:row>
      <xdr:rowOff>76200</xdr:rowOff>
    </xdr:to>
    <xdr:graphicFrame macro="">
      <xdr:nvGraphicFramePr>
        <xdr:cNvPr id="37" name="Chart 36">
          <a:extLst>
            <a:ext uri="{FF2B5EF4-FFF2-40B4-BE49-F238E27FC236}">
              <a16:creationId xmlns:a16="http://schemas.microsoft.com/office/drawing/2014/main" id="{4737EE71-7B9B-4A39-9854-D5CE8AD39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66</xdr:col>
      <xdr:colOff>182880</xdr:colOff>
      <xdr:row>73</xdr:row>
      <xdr:rowOff>45720</xdr:rowOff>
    </xdr:from>
    <xdr:to>
      <xdr:col>79</xdr:col>
      <xdr:colOff>838200</xdr:colOff>
      <xdr:row>115</xdr:row>
      <xdr:rowOff>0</xdr:rowOff>
    </xdr:to>
    <xdr:graphicFrame macro="">
      <xdr:nvGraphicFramePr>
        <xdr:cNvPr id="38" name="Chart 37">
          <a:extLst>
            <a:ext uri="{FF2B5EF4-FFF2-40B4-BE49-F238E27FC236}">
              <a16:creationId xmlns:a16="http://schemas.microsoft.com/office/drawing/2014/main" id="{D98974CF-A0B9-4714-A76B-EE4D71F36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40</xdr:col>
      <xdr:colOff>350520</xdr:colOff>
      <xdr:row>50</xdr:row>
      <xdr:rowOff>0</xdr:rowOff>
    </xdr:from>
    <xdr:to>
      <xdr:col>43</xdr:col>
      <xdr:colOff>320040</xdr:colOff>
      <xdr:row>59</xdr:row>
      <xdr:rowOff>137160</xdr:rowOff>
    </xdr:to>
    <xdr:sp macro="" textlink="$BC$86">
      <xdr:nvSpPr>
        <xdr:cNvPr id="6" name="Oval 5">
          <a:extLst>
            <a:ext uri="{FF2B5EF4-FFF2-40B4-BE49-F238E27FC236}">
              <a16:creationId xmlns:a16="http://schemas.microsoft.com/office/drawing/2014/main" id="{6AF9D375-98C1-4E17-AA7D-4F0812EC5F9E}"/>
            </a:ext>
          </a:extLst>
        </xdr:cNvPr>
        <xdr:cNvSpPr/>
      </xdr:nvSpPr>
      <xdr:spPr>
        <a:xfrm>
          <a:off x="24734520" y="9144000"/>
          <a:ext cx="1798320" cy="178308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B8C3933-6F8D-43D6-9D74-51624093C3F9}" type="TxLink">
            <a:rPr lang="en-US" sz="4400" b="0" i="0" u="none" strike="noStrike">
              <a:solidFill>
                <a:schemeClr val="tx1">
                  <a:lumMod val="65000"/>
                  <a:lumOff val="35000"/>
                </a:schemeClr>
              </a:solidFill>
              <a:latin typeface="Calibri"/>
              <a:ea typeface="Calibri"/>
              <a:cs typeface="Calibri"/>
            </a:rPr>
            <a:pPr algn="ctr"/>
            <a:t>300    </a:t>
          </a:fld>
          <a:endParaRPr lang="en-US" sz="4400" b="0">
            <a:solidFill>
              <a:schemeClr val="tx1">
                <a:lumMod val="65000"/>
                <a:lumOff val="35000"/>
              </a:schemeClr>
            </a:solidFill>
          </a:endParaRPr>
        </a:p>
      </xdr:txBody>
    </xdr:sp>
    <xdr:clientData/>
  </xdr:twoCellAnchor>
  <xdr:twoCellAnchor>
    <xdr:from>
      <xdr:col>40</xdr:col>
      <xdr:colOff>335280</xdr:colOff>
      <xdr:row>54</xdr:row>
      <xdr:rowOff>152400</xdr:rowOff>
    </xdr:from>
    <xdr:to>
      <xdr:col>43</xdr:col>
      <xdr:colOff>304800</xdr:colOff>
      <xdr:row>58</xdr:row>
      <xdr:rowOff>0</xdr:rowOff>
    </xdr:to>
    <xdr:sp macro="" textlink="">
      <xdr:nvSpPr>
        <xdr:cNvPr id="7" name="TextBox 6">
          <a:extLst>
            <a:ext uri="{FF2B5EF4-FFF2-40B4-BE49-F238E27FC236}">
              <a16:creationId xmlns:a16="http://schemas.microsoft.com/office/drawing/2014/main" id="{A7EB7A0D-26BF-4ADD-B216-AAE4B8882170}"/>
            </a:ext>
          </a:extLst>
        </xdr:cNvPr>
        <xdr:cNvSpPr txBox="1"/>
      </xdr:nvSpPr>
      <xdr:spPr>
        <a:xfrm>
          <a:off x="24719280" y="10027920"/>
          <a:ext cx="179832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2800"/>
            <a:t>Companies</a:t>
          </a:r>
          <a:endParaRPr lang="en-US" sz="28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129542</xdr:colOff>
      <xdr:row>0</xdr:row>
      <xdr:rowOff>45720</xdr:rowOff>
    </xdr:from>
    <xdr:to>
      <xdr:col>16</xdr:col>
      <xdr:colOff>152400</xdr:colOff>
      <xdr:row>6</xdr:row>
      <xdr:rowOff>91440</xdr:rowOff>
    </xdr:to>
    <xdr:grpSp>
      <xdr:nvGrpSpPr>
        <xdr:cNvPr id="2" name="Group 1">
          <a:extLst>
            <a:ext uri="{FF2B5EF4-FFF2-40B4-BE49-F238E27FC236}">
              <a16:creationId xmlns:a16="http://schemas.microsoft.com/office/drawing/2014/main" id="{13B45E54-611B-4E95-8E71-209084E40D27}"/>
            </a:ext>
          </a:extLst>
        </xdr:cNvPr>
        <xdr:cNvGrpSpPr/>
      </xdr:nvGrpSpPr>
      <xdr:grpSpPr>
        <a:xfrm>
          <a:off x="129542" y="45720"/>
          <a:ext cx="9776458" cy="1143000"/>
          <a:chOff x="129541" y="0"/>
          <a:chExt cx="6149339" cy="1098560"/>
        </a:xfrm>
      </xdr:grpSpPr>
      <xdr:sp macro="" textlink="">
        <xdr:nvSpPr>
          <xdr:cNvPr id="3" name="Text Box 1">
            <a:extLst>
              <a:ext uri="{FF2B5EF4-FFF2-40B4-BE49-F238E27FC236}">
                <a16:creationId xmlns:a16="http://schemas.microsoft.com/office/drawing/2014/main" id="{A3C9AA2F-AE90-49A8-89E8-7826EC12AEFC}"/>
              </a:ext>
            </a:extLst>
          </xdr:cNvPr>
          <xdr:cNvSpPr txBox="1">
            <a:spLocks noChangeArrowheads="1"/>
          </xdr:cNvSpPr>
        </xdr:nvSpPr>
        <xdr:spPr bwMode="auto">
          <a:xfrm>
            <a:off x="960120" y="0"/>
            <a:ext cx="5318760" cy="548640"/>
          </a:xfrm>
          <a:prstGeom prst="rect">
            <a:avLst/>
          </a:prstGeom>
          <a:noFill/>
          <a:ln w="9525">
            <a:noFill/>
            <a:miter lim="800000"/>
            <a:headEnd/>
            <a:tailEnd/>
          </a:ln>
        </xdr:spPr>
        <xdr:txBody>
          <a:bodyPr vertOverflow="clip" wrap="square" lIns="36576" tIns="32004" rIns="0" bIns="0" anchor="t" upright="1"/>
          <a:lstStyle/>
          <a:p>
            <a:pPr algn="l" rtl="0">
              <a:defRPr sz="1000"/>
            </a:pPr>
            <a:r>
              <a:rPr lang="en-US" sz="4000" b="1">
                <a:solidFill>
                  <a:schemeClr val="bg1"/>
                </a:solidFill>
              </a:rPr>
              <a:t>RISK &amp; GROWTH DASHBOARD</a:t>
            </a:r>
            <a:endParaRPr lang="en-US" sz="4000" b="1" i="0" u="none" strike="noStrike" baseline="0">
              <a:solidFill>
                <a:schemeClr val="bg1"/>
              </a:solidFill>
              <a:latin typeface="Calibri"/>
              <a:ea typeface="Calibri"/>
              <a:cs typeface="Calibri"/>
            </a:endParaRPr>
          </a:p>
        </xdr:txBody>
      </xdr:sp>
      <xdr:sp macro="" textlink="">
        <xdr:nvSpPr>
          <xdr:cNvPr id="4" name="TextBox 3">
            <a:extLst>
              <a:ext uri="{FF2B5EF4-FFF2-40B4-BE49-F238E27FC236}">
                <a16:creationId xmlns:a16="http://schemas.microsoft.com/office/drawing/2014/main" id="{96AB9F64-771E-4BC2-B084-9E4CA6BFC6CC}"/>
              </a:ext>
            </a:extLst>
          </xdr:cNvPr>
          <xdr:cNvSpPr txBox="1"/>
        </xdr:nvSpPr>
        <xdr:spPr>
          <a:xfrm>
            <a:off x="937260" y="611294"/>
            <a:ext cx="4458252" cy="449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solidFill>
              </a:rPr>
              <a:t>Strategic Risk Exposure and Growth Potential Analysis</a:t>
            </a:r>
          </a:p>
        </xdr:txBody>
      </xdr:sp>
      <xdr:pic>
        <xdr:nvPicPr>
          <xdr:cNvPr id="5" name="Graphic 4" descr="Brain in head with solid fill">
            <a:extLst>
              <a:ext uri="{FF2B5EF4-FFF2-40B4-BE49-F238E27FC236}">
                <a16:creationId xmlns:a16="http://schemas.microsoft.com/office/drawing/2014/main" id="{5742EF81-4B14-4AF4-AEBB-C05E59D83C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9541" y="68580"/>
            <a:ext cx="742904" cy="1029980"/>
          </a:xfrm>
          <a:prstGeom prst="rect">
            <a:avLst/>
          </a:prstGeom>
        </xdr:spPr>
      </xdr:pic>
    </xdr:grpSp>
    <xdr:clientData/>
  </xdr:twoCellAnchor>
  <xdr:oneCellAnchor>
    <xdr:from>
      <xdr:col>21</xdr:col>
      <xdr:colOff>533400</xdr:colOff>
      <xdr:row>1</xdr:row>
      <xdr:rowOff>91440</xdr:rowOff>
    </xdr:from>
    <xdr:ext cx="3799475" cy="656421"/>
    <xdr:sp macro="" textlink="">
      <xdr:nvSpPr>
        <xdr:cNvPr id="20" name="TextBox 19">
          <a:hlinkClick xmlns:r="http://schemas.openxmlformats.org/officeDocument/2006/relationships" r:id="rId3"/>
          <a:extLst>
            <a:ext uri="{FF2B5EF4-FFF2-40B4-BE49-F238E27FC236}">
              <a16:creationId xmlns:a16="http://schemas.microsoft.com/office/drawing/2014/main" id="{97DA4EA9-0704-4EF1-905C-E77A2EB331CC}"/>
            </a:ext>
          </a:extLst>
        </xdr:cNvPr>
        <xdr:cNvSpPr txBox="1"/>
      </xdr:nvSpPr>
      <xdr:spPr>
        <a:xfrm>
          <a:off x="13335000" y="274320"/>
          <a:ext cx="3799475" cy="656421"/>
        </a:xfrm>
        <a:prstGeom prst="roundRect">
          <a:avLst/>
        </a:prstGeom>
        <a:solidFill>
          <a:srgbClr val="8B5CF6"/>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u="none">
              <a:solidFill>
                <a:srgbClr val="E9D5FF"/>
              </a:solidFill>
            </a:rPr>
            <a:t>Executive Dashboard</a:t>
          </a:r>
        </a:p>
      </xdr:txBody>
    </xdr:sp>
    <xdr:clientData/>
  </xdr:oneCellAnchor>
  <xdr:oneCellAnchor>
    <xdr:from>
      <xdr:col>35</xdr:col>
      <xdr:colOff>289560</xdr:colOff>
      <xdr:row>1</xdr:row>
      <xdr:rowOff>91440</xdr:rowOff>
    </xdr:from>
    <xdr:ext cx="3336453" cy="656421"/>
    <xdr:sp macro="" textlink="">
      <xdr:nvSpPr>
        <xdr:cNvPr id="21" name="TextBox 20">
          <a:hlinkClick xmlns:r="http://schemas.openxmlformats.org/officeDocument/2006/relationships" r:id="rId4"/>
          <a:extLst>
            <a:ext uri="{FF2B5EF4-FFF2-40B4-BE49-F238E27FC236}">
              <a16:creationId xmlns:a16="http://schemas.microsoft.com/office/drawing/2014/main" id="{1712A717-8F85-4264-8E12-A77E51F06D3C}"/>
            </a:ext>
          </a:extLst>
        </xdr:cNvPr>
        <xdr:cNvSpPr txBox="1"/>
      </xdr:nvSpPr>
      <xdr:spPr>
        <a:xfrm>
          <a:off x="21625560" y="274320"/>
          <a:ext cx="3336453"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u="none">
              <a:solidFill>
                <a:srgbClr val="E9D5FF"/>
              </a:solidFill>
            </a:rPr>
            <a:t>SW</a:t>
          </a:r>
          <a:r>
            <a:rPr lang="az-Latn-AZ" sz="3200" b="1" u="none">
              <a:solidFill>
                <a:srgbClr val="E9D5FF"/>
              </a:solidFill>
            </a:rPr>
            <a:t>OT</a:t>
          </a:r>
          <a:r>
            <a:rPr lang="az-Latn-AZ" sz="3200" b="1" u="none" baseline="0">
              <a:solidFill>
                <a:srgbClr val="E9D5FF"/>
              </a:solidFill>
            </a:rPr>
            <a:t> </a:t>
          </a:r>
          <a:r>
            <a:rPr lang="en-US" sz="3200" b="1" u="none">
              <a:solidFill>
                <a:srgbClr val="E9D5FF"/>
              </a:solidFill>
            </a:rPr>
            <a:t>Intelligence</a:t>
          </a:r>
          <a:endParaRPr lang="en-US" sz="2800" b="1" u="none">
            <a:solidFill>
              <a:srgbClr val="E9D5FF"/>
            </a:solidFill>
          </a:endParaRPr>
        </a:p>
      </xdr:txBody>
    </xdr:sp>
    <xdr:clientData/>
  </xdr:oneCellAnchor>
  <xdr:oneCellAnchor>
    <xdr:from>
      <xdr:col>41</xdr:col>
      <xdr:colOff>259080</xdr:colOff>
      <xdr:row>1</xdr:row>
      <xdr:rowOff>91440</xdr:rowOff>
    </xdr:from>
    <xdr:ext cx="2699318" cy="656421"/>
    <xdr:sp macro="" textlink="">
      <xdr:nvSpPr>
        <xdr:cNvPr id="22" name="TextBox 21">
          <a:hlinkClick xmlns:r="http://schemas.openxmlformats.org/officeDocument/2006/relationships" r:id="rId5"/>
          <a:extLst>
            <a:ext uri="{FF2B5EF4-FFF2-40B4-BE49-F238E27FC236}">
              <a16:creationId xmlns:a16="http://schemas.microsoft.com/office/drawing/2014/main" id="{C8278292-DEAC-4ADC-9B23-18E3D69CC808}"/>
            </a:ext>
          </a:extLst>
        </xdr:cNvPr>
        <xdr:cNvSpPr txBox="1"/>
      </xdr:nvSpPr>
      <xdr:spPr>
        <a:xfrm>
          <a:off x="25252680" y="274320"/>
          <a:ext cx="2699318"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u="sng">
              <a:solidFill>
                <a:srgbClr val="E9D5FF"/>
              </a:solidFill>
            </a:rPr>
            <a:t>Risk &amp; Growth</a:t>
          </a:r>
        </a:p>
      </xdr:txBody>
    </xdr:sp>
    <xdr:clientData/>
  </xdr:oneCellAnchor>
  <xdr:oneCellAnchor>
    <xdr:from>
      <xdr:col>28</xdr:col>
      <xdr:colOff>502920</xdr:colOff>
      <xdr:row>1</xdr:row>
      <xdr:rowOff>91440</xdr:rowOff>
    </xdr:from>
    <xdr:ext cx="3588422" cy="656421"/>
    <xdr:sp macro="" textlink="">
      <xdr:nvSpPr>
        <xdr:cNvPr id="23" name="TextBox 22">
          <a:hlinkClick xmlns:r="http://schemas.openxmlformats.org/officeDocument/2006/relationships" r:id="rId6"/>
          <a:extLst>
            <a:ext uri="{FF2B5EF4-FFF2-40B4-BE49-F238E27FC236}">
              <a16:creationId xmlns:a16="http://schemas.microsoft.com/office/drawing/2014/main" id="{128BE008-74F4-45F8-B92D-E7EBD565799C}"/>
            </a:ext>
          </a:extLst>
        </xdr:cNvPr>
        <xdr:cNvSpPr txBox="1"/>
      </xdr:nvSpPr>
      <xdr:spPr>
        <a:xfrm>
          <a:off x="17571720" y="274320"/>
          <a:ext cx="3588422" cy="656421"/>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u="none">
              <a:solidFill>
                <a:srgbClr val="E9D5FF"/>
              </a:solidFill>
            </a:rPr>
            <a:t>I</a:t>
          </a:r>
          <a:r>
            <a:rPr lang="az-Latn-AZ" sz="3200" b="1" u="none">
              <a:solidFill>
                <a:srgbClr val="E9D5FF"/>
              </a:solidFill>
            </a:rPr>
            <a:t>ndustry</a:t>
          </a:r>
          <a:r>
            <a:rPr lang="az-Latn-AZ" sz="2800" b="1" u="none">
              <a:solidFill>
                <a:srgbClr val="E9D5FF"/>
              </a:solidFill>
            </a:rPr>
            <a:t> </a:t>
          </a:r>
          <a:r>
            <a:rPr lang="az-Latn-AZ" sz="3200" b="1" u="none">
              <a:solidFill>
                <a:srgbClr val="E9D5FF"/>
              </a:solidFill>
            </a:rPr>
            <a:t>Companies</a:t>
          </a:r>
          <a:endParaRPr lang="en-US" sz="2800" b="1" u="none">
            <a:solidFill>
              <a:srgbClr val="E9D5FF"/>
            </a:solidFill>
          </a:endParaRPr>
        </a:p>
      </xdr:txBody>
    </xdr:sp>
    <xdr:clientData/>
  </xdr:oneCellAnchor>
  <xdr:twoCellAnchor>
    <xdr:from>
      <xdr:col>9</xdr:col>
      <xdr:colOff>411480</xdr:colOff>
      <xdr:row>8</xdr:row>
      <xdr:rowOff>45720</xdr:rowOff>
    </xdr:from>
    <xdr:to>
      <xdr:col>45</xdr:col>
      <xdr:colOff>548639</xdr:colOff>
      <xdr:row>16</xdr:row>
      <xdr:rowOff>152400</xdr:rowOff>
    </xdr:to>
    <xdr:grpSp>
      <xdr:nvGrpSpPr>
        <xdr:cNvPr id="39" name="Group 38">
          <a:extLst>
            <a:ext uri="{FF2B5EF4-FFF2-40B4-BE49-F238E27FC236}">
              <a16:creationId xmlns:a16="http://schemas.microsoft.com/office/drawing/2014/main" id="{CFE6871A-9F1C-4DEB-A74C-9DDDC67A4E4E}"/>
            </a:ext>
          </a:extLst>
        </xdr:cNvPr>
        <xdr:cNvGrpSpPr/>
      </xdr:nvGrpSpPr>
      <xdr:grpSpPr>
        <a:xfrm>
          <a:off x="5897880" y="1508760"/>
          <a:ext cx="22082759" cy="1569720"/>
          <a:chOff x="4267200" y="1463040"/>
          <a:chExt cx="22082759" cy="1569720"/>
        </a:xfrm>
      </xdr:grpSpPr>
      <xdr:grpSp>
        <xdr:nvGrpSpPr>
          <xdr:cNvPr id="24" name="Group 23">
            <a:extLst>
              <a:ext uri="{FF2B5EF4-FFF2-40B4-BE49-F238E27FC236}">
                <a16:creationId xmlns:a16="http://schemas.microsoft.com/office/drawing/2014/main" id="{99F7E0F6-63CA-4407-837A-28351EA65A53}"/>
              </a:ext>
            </a:extLst>
          </xdr:cNvPr>
          <xdr:cNvGrpSpPr/>
        </xdr:nvGrpSpPr>
        <xdr:grpSpPr>
          <a:xfrm>
            <a:off x="4267200" y="1463040"/>
            <a:ext cx="22082759" cy="1569720"/>
            <a:chOff x="5897880" y="1447800"/>
            <a:chExt cx="22082759" cy="1752600"/>
          </a:xfrm>
        </xdr:grpSpPr>
        <xdr:grpSp>
          <xdr:nvGrpSpPr>
            <xdr:cNvPr id="25" name="Group 24">
              <a:extLst>
                <a:ext uri="{FF2B5EF4-FFF2-40B4-BE49-F238E27FC236}">
                  <a16:creationId xmlns:a16="http://schemas.microsoft.com/office/drawing/2014/main" id="{58A5827A-598A-492F-810E-B254E16A54B8}"/>
                </a:ext>
              </a:extLst>
            </xdr:cNvPr>
            <xdr:cNvGrpSpPr/>
          </xdr:nvGrpSpPr>
          <xdr:grpSpPr>
            <a:xfrm>
              <a:off x="5897880" y="1447800"/>
              <a:ext cx="22067520" cy="1752600"/>
              <a:chOff x="5897880" y="1447800"/>
              <a:chExt cx="22067520" cy="1752600"/>
            </a:xfrm>
          </xdr:grpSpPr>
          <xdr:sp macro="" textlink="">
            <xdr:nvSpPr>
              <xdr:cNvPr id="34" name="Rectangle: Rounded Corners 33">
                <a:extLst>
                  <a:ext uri="{FF2B5EF4-FFF2-40B4-BE49-F238E27FC236}">
                    <a16:creationId xmlns:a16="http://schemas.microsoft.com/office/drawing/2014/main" id="{FBAFE29A-01BA-43F2-B219-3ADF098A52FD}"/>
                  </a:ext>
                </a:extLst>
              </xdr:cNvPr>
              <xdr:cNvSpPr/>
            </xdr:nvSpPr>
            <xdr:spPr>
              <a:xfrm>
                <a:off x="5897880" y="1447800"/>
                <a:ext cx="4465320" cy="1752600"/>
              </a:xfrm>
              <a:prstGeom prst="roundRect">
                <a:avLst/>
              </a:prstGeom>
              <a:noFill/>
              <a:ln>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Rounded Corners 34">
                <a:extLst>
                  <a:ext uri="{FF2B5EF4-FFF2-40B4-BE49-F238E27FC236}">
                    <a16:creationId xmlns:a16="http://schemas.microsoft.com/office/drawing/2014/main" id="{251F22DC-0E37-4124-8D07-888999A8758F}"/>
                  </a:ext>
                </a:extLst>
              </xdr:cNvPr>
              <xdr:cNvSpPr/>
            </xdr:nvSpPr>
            <xdr:spPr>
              <a:xfrm>
                <a:off x="11795760" y="1447800"/>
                <a:ext cx="4663440" cy="1752600"/>
              </a:xfrm>
              <a:prstGeom prst="roundRect">
                <a:avLst/>
              </a:prstGeom>
              <a:noFill/>
              <a:ln>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Rounded Corners 35">
                <a:extLst>
                  <a:ext uri="{FF2B5EF4-FFF2-40B4-BE49-F238E27FC236}">
                    <a16:creationId xmlns:a16="http://schemas.microsoft.com/office/drawing/2014/main" id="{64DD2728-B995-462D-A83B-B9E2FB2CC023}"/>
                  </a:ext>
                </a:extLst>
              </xdr:cNvPr>
              <xdr:cNvSpPr/>
            </xdr:nvSpPr>
            <xdr:spPr>
              <a:xfrm>
                <a:off x="17846040" y="1447800"/>
                <a:ext cx="4465320" cy="1752600"/>
              </a:xfrm>
              <a:prstGeom prst="roundRect">
                <a:avLst/>
              </a:prstGeom>
              <a:noFill/>
              <a:ln>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Rounded Corners 36">
                <a:extLst>
                  <a:ext uri="{FF2B5EF4-FFF2-40B4-BE49-F238E27FC236}">
                    <a16:creationId xmlns:a16="http://schemas.microsoft.com/office/drawing/2014/main" id="{1D9EC677-5256-4A4A-AE28-536389FC15E0}"/>
                  </a:ext>
                </a:extLst>
              </xdr:cNvPr>
              <xdr:cNvSpPr/>
            </xdr:nvSpPr>
            <xdr:spPr>
              <a:xfrm>
                <a:off x="23500080" y="1447800"/>
                <a:ext cx="4465320" cy="1752600"/>
              </a:xfrm>
              <a:prstGeom prst="roundRect">
                <a:avLst/>
              </a:prstGeom>
              <a:noFill/>
              <a:ln>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6" name="TextBox 25">
              <a:extLst>
                <a:ext uri="{FF2B5EF4-FFF2-40B4-BE49-F238E27FC236}">
                  <a16:creationId xmlns:a16="http://schemas.microsoft.com/office/drawing/2014/main" id="{BA517842-0961-4E3E-B351-BA31AB09BCDE}"/>
                </a:ext>
              </a:extLst>
            </xdr:cNvPr>
            <xdr:cNvSpPr txBox="1"/>
          </xdr:nvSpPr>
          <xdr:spPr>
            <a:xfrm>
              <a:off x="6294120" y="1524000"/>
              <a:ext cx="3945696" cy="732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8B5CF6"/>
                  </a:solidFill>
                </a:rPr>
                <a:t>A</a:t>
              </a:r>
              <a:r>
                <a:rPr lang="az-Latn-AZ" sz="3600" b="1">
                  <a:solidFill>
                    <a:srgbClr val="8B5CF6"/>
                  </a:solidFill>
                </a:rPr>
                <a:t>VG</a:t>
              </a:r>
              <a:r>
                <a:rPr lang="en-US" sz="3600" b="1">
                  <a:solidFill>
                    <a:srgbClr val="8B5CF6"/>
                  </a:solidFill>
                </a:rPr>
                <a:t> Strength Score</a:t>
              </a:r>
            </a:p>
          </xdr:txBody>
        </xdr:sp>
        <xdr:sp macro="" textlink="">
          <xdr:nvSpPr>
            <xdr:cNvPr id="28" name="TextBox 27">
              <a:extLst>
                <a:ext uri="{FF2B5EF4-FFF2-40B4-BE49-F238E27FC236}">
                  <a16:creationId xmlns:a16="http://schemas.microsoft.com/office/drawing/2014/main" id="{77F5045D-43B6-4EEF-82D7-BB6F8FD38384}"/>
                </a:ext>
              </a:extLst>
            </xdr:cNvPr>
            <xdr:cNvSpPr txBox="1"/>
          </xdr:nvSpPr>
          <xdr:spPr>
            <a:xfrm>
              <a:off x="11856720" y="1524000"/>
              <a:ext cx="4664097" cy="732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8B5CF6"/>
                  </a:solidFill>
                </a:rPr>
                <a:t>A</a:t>
              </a:r>
              <a:r>
                <a:rPr lang="az-Latn-AZ" sz="3600" b="1">
                  <a:solidFill>
                    <a:srgbClr val="8B5CF6"/>
                  </a:solidFill>
                </a:rPr>
                <a:t>VG</a:t>
              </a:r>
              <a:r>
                <a:rPr lang="en-US" sz="3600" b="1">
                  <a:solidFill>
                    <a:srgbClr val="8B5CF6"/>
                  </a:solidFill>
                </a:rPr>
                <a:t> Opportunity Score</a:t>
              </a:r>
            </a:p>
          </xdr:txBody>
        </xdr:sp>
        <xdr:sp macro="" textlink="">
          <xdr:nvSpPr>
            <xdr:cNvPr id="30" name="TextBox 29">
              <a:extLst>
                <a:ext uri="{FF2B5EF4-FFF2-40B4-BE49-F238E27FC236}">
                  <a16:creationId xmlns:a16="http://schemas.microsoft.com/office/drawing/2014/main" id="{A3A5420C-D1D3-423A-AF41-CAFF9F2F7795}"/>
                </a:ext>
              </a:extLst>
            </xdr:cNvPr>
            <xdr:cNvSpPr txBox="1"/>
          </xdr:nvSpPr>
          <xdr:spPr>
            <a:xfrm>
              <a:off x="18333720" y="1489969"/>
              <a:ext cx="3705373" cy="732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rgbClr val="8B5CF6"/>
                  </a:solidFill>
                </a:rPr>
                <a:t>Strong Companies</a:t>
              </a:r>
            </a:p>
          </xdr:txBody>
        </xdr:sp>
        <xdr:sp macro="" textlink="">
          <xdr:nvSpPr>
            <xdr:cNvPr id="32" name="TextBox 31">
              <a:extLst>
                <a:ext uri="{FF2B5EF4-FFF2-40B4-BE49-F238E27FC236}">
                  <a16:creationId xmlns:a16="http://schemas.microsoft.com/office/drawing/2014/main" id="{94213537-0E7B-4033-B7A6-92166BBB320D}"/>
                </a:ext>
              </a:extLst>
            </xdr:cNvPr>
            <xdr:cNvSpPr txBox="1"/>
          </xdr:nvSpPr>
          <xdr:spPr>
            <a:xfrm>
              <a:off x="23713440" y="1524000"/>
              <a:ext cx="4267199" cy="732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az-Latn-AZ" sz="3600" b="1">
                  <a:solidFill>
                    <a:srgbClr val="8B5CF6"/>
                  </a:solidFill>
                </a:rPr>
                <a:t>  Critical</a:t>
              </a:r>
              <a:r>
                <a:rPr lang="en-US" sz="3600" b="1">
                  <a:solidFill>
                    <a:srgbClr val="8B5CF6"/>
                  </a:solidFill>
                </a:rPr>
                <a:t> Companies</a:t>
              </a:r>
            </a:p>
          </xdr:txBody>
        </xdr:sp>
      </xdr:grpSp>
      <xdr:sp macro="" textlink="$BB$70">
        <xdr:nvSpPr>
          <xdr:cNvPr id="38" name="Rectangle 37">
            <a:extLst>
              <a:ext uri="{FF2B5EF4-FFF2-40B4-BE49-F238E27FC236}">
                <a16:creationId xmlns:a16="http://schemas.microsoft.com/office/drawing/2014/main" id="{AA590FF0-10F6-41FD-9A40-8A9CD5DD71DE}"/>
              </a:ext>
            </a:extLst>
          </xdr:cNvPr>
          <xdr:cNvSpPr/>
        </xdr:nvSpPr>
        <xdr:spPr>
          <a:xfrm>
            <a:off x="23652480" y="2042160"/>
            <a:ext cx="1371600" cy="7010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336DB5A-5A75-440B-8514-84F09AF636AB}" type="TxLink">
              <a:rPr lang="en-US" sz="4400" b="1" i="0" u="none" strike="noStrike">
                <a:solidFill>
                  <a:srgbClr val="8B5CF6"/>
                </a:solidFill>
                <a:latin typeface="Calibri"/>
                <a:ea typeface="Calibri"/>
                <a:cs typeface="Calibri"/>
              </a:rPr>
              <a:pPr algn="l"/>
              <a:t>4 %</a:t>
            </a:fld>
            <a:endParaRPr lang="en-US" sz="4400" b="1">
              <a:solidFill>
                <a:srgbClr val="8B5CF6"/>
              </a:solidFill>
            </a:endParaRPr>
          </a:p>
        </xdr:txBody>
      </xdr:sp>
      <xdr:sp macro="" textlink="$BC$73">
        <xdr:nvSpPr>
          <xdr:cNvPr id="40" name="Rectangle 39">
            <a:extLst>
              <a:ext uri="{FF2B5EF4-FFF2-40B4-BE49-F238E27FC236}">
                <a16:creationId xmlns:a16="http://schemas.microsoft.com/office/drawing/2014/main" id="{2FA49AA0-2684-4D4C-8AAC-174C884E833F}"/>
              </a:ext>
            </a:extLst>
          </xdr:cNvPr>
          <xdr:cNvSpPr/>
        </xdr:nvSpPr>
        <xdr:spPr>
          <a:xfrm>
            <a:off x="17907000" y="2026920"/>
            <a:ext cx="1371600" cy="6400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1337538-B1DC-42C4-8048-2B77E5B7C872}" type="TxLink">
              <a:rPr lang="en-US" sz="4400" b="1" i="0" u="none" strike="noStrike">
                <a:solidFill>
                  <a:srgbClr val="8B5CF6"/>
                </a:solidFill>
                <a:latin typeface="Calibri"/>
                <a:ea typeface="Calibri"/>
                <a:cs typeface="Calibri"/>
              </a:rPr>
              <a:pPr algn="l"/>
              <a:t>52 %</a:t>
            </a:fld>
            <a:endParaRPr lang="en-US" sz="4400" b="1">
              <a:solidFill>
                <a:srgbClr val="8B5CF6"/>
              </a:solidFill>
            </a:endParaRPr>
          </a:p>
        </xdr:txBody>
      </xdr:sp>
      <xdr:sp macro="" textlink="$AY$67">
        <xdr:nvSpPr>
          <xdr:cNvPr id="41" name="Rectangle 40">
            <a:extLst>
              <a:ext uri="{FF2B5EF4-FFF2-40B4-BE49-F238E27FC236}">
                <a16:creationId xmlns:a16="http://schemas.microsoft.com/office/drawing/2014/main" id="{F2331F38-F9B7-4478-8296-DC7EC506CD85}"/>
              </a:ext>
            </a:extLst>
          </xdr:cNvPr>
          <xdr:cNvSpPr/>
        </xdr:nvSpPr>
        <xdr:spPr>
          <a:xfrm>
            <a:off x="6187440" y="2042160"/>
            <a:ext cx="1981200" cy="8077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EC93034-4A46-4095-8EC0-E6AF1EE66914}" type="TxLink">
              <a:rPr lang="en-US" sz="4400" b="1" i="0" u="none" strike="noStrike">
                <a:solidFill>
                  <a:srgbClr val="8B5CF6"/>
                </a:solidFill>
                <a:latin typeface="Calibri"/>
                <a:ea typeface="Calibri"/>
                <a:cs typeface="Calibri"/>
              </a:rPr>
              <a:pPr algn="l"/>
              <a:t>7</a:t>
            </a:fld>
            <a:endParaRPr lang="en-US" sz="4400" b="1" i="0" u="none" strike="noStrike">
              <a:solidFill>
                <a:srgbClr val="8B5CF6"/>
              </a:solidFill>
              <a:latin typeface="Calibri"/>
              <a:ea typeface="Calibri"/>
              <a:cs typeface="Calibri"/>
            </a:endParaRPr>
          </a:p>
        </xdr:txBody>
      </xdr:sp>
      <xdr:sp macro="" textlink="$AZ$67">
        <xdr:nvSpPr>
          <xdr:cNvPr id="42" name="Rectangle 41">
            <a:extLst>
              <a:ext uri="{FF2B5EF4-FFF2-40B4-BE49-F238E27FC236}">
                <a16:creationId xmlns:a16="http://schemas.microsoft.com/office/drawing/2014/main" id="{72963245-E1D7-474F-AE5B-7467E52B6729}"/>
              </a:ext>
            </a:extLst>
          </xdr:cNvPr>
          <xdr:cNvSpPr/>
        </xdr:nvSpPr>
        <xdr:spPr>
          <a:xfrm>
            <a:off x="12192000" y="2011680"/>
            <a:ext cx="1371600" cy="7924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66BCD8A-E064-429F-AC43-BA01E3EE4D79}" type="TxLink">
              <a:rPr lang="en-US" sz="4400" b="1" i="0" u="none" strike="noStrike">
                <a:solidFill>
                  <a:srgbClr val="8B5CF6"/>
                </a:solidFill>
                <a:latin typeface="Calibri"/>
                <a:ea typeface="Calibri"/>
                <a:cs typeface="Calibri"/>
              </a:rPr>
              <a:pPr algn="l"/>
              <a:t>6</a:t>
            </a:fld>
            <a:endParaRPr lang="en-US" sz="4400" b="1">
              <a:solidFill>
                <a:srgbClr val="8B5CF6"/>
              </a:solidFill>
            </a:endParaRPr>
          </a:p>
        </xdr:txBody>
      </xdr:sp>
    </xdr:grpSp>
    <xdr:clientData/>
  </xdr:twoCellAnchor>
  <xdr:twoCellAnchor>
    <xdr:from>
      <xdr:col>0</xdr:col>
      <xdr:colOff>167640</xdr:colOff>
      <xdr:row>7</xdr:row>
      <xdr:rowOff>152400</xdr:rowOff>
    </xdr:from>
    <xdr:to>
      <xdr:col>7</xdr:col>
      <xdr:colOff>182880</xdr:colOff>
      <xdr:row>67</xdr:row>
      <xdr:rowOff>30480</xdr:rowOff>
    </xdr:to>
    <xdr:grpSp>
      <xdr:nvGrpSpPr>
        <xdr:cNvPr id="44" name="Group 43">
          <a:extLst>
            <a:ext uri="{FF2B5EF4-FFF2-40B4-BE49-F238E27FC236}">
              <a16:creationId xmlns:a16="http://schemas.microsoft.com/office/drawing/2014/main" id="{EC264E81-CC8C-4B6C-BFC2-B9400DC1306A}"/>
            </a:ext>
          </a:extLst>
        </xdr:cNvPr>
        <xdr:cNvGrpSpPr/>
      </xdr:nvGrpSpPr>
      <xdr:grpSpPr>
        <a:xfrm>
          <a:off x="167640" y="1432560"/>
          <a:ext cx="4282440" cy="10850880"/>
          <a:chOff x="198120" y="1371600"/>
          <a:chExt cx="4976890" cy="10850880"/>
        </a:xfrm>
      </xdr:grpSpPr>
      <mc:AlternateContent xmlns:mc="http://schemas.openxmlformats.org/markup-compatibility/2006" xmlns:a14="http://schemas.microsoft.com/office/drawing/2010/main">
        <mc:Choice Requires="a14">
          <xdr:graphicFrame macro="">
            <xdr:nvGraphicFramePr>
              <xdr:cNvPr id="45" name="industry 2">
                <a:extLst>
                  <a:ext uri="{FF2B5EF4-FFF2-40B4-BE49-F238E27FC236}">
                    <a16:creationId xmlns:a16="http://schemas.microsoft.com/office/drawing/2014/main" id="{83595292-BB3D-4C18-9B24-727F92F3C28F}"/>
                  </a:ext>
                </a:extLst>
              </xdr:cNvPr>
              <xdr:cNvGraphicFramePr>
                <a:graphicFrameLocks/>
              </xdr:cNvGraphicFramePr>
            </xdr:nvGraphicFramePr>
            <xdr:xfrm>
              <a:off x="518132" y="1653540"/>
              <a:ext cx="4234320" cy="3619500"/>
            </xdr:xfrm>
            <a:graphic>
              <a:graphicData uri="http://schemas.microsoft.com/office/drawing/2010/slicer">
                <sle:slicer xmlns:sle="http://schemas.microsoft.com/office/drawing/2010/slicer" name="industry 2"/>
              </a:graphicData>
            </a:graphic>
          </xdr:graphicFrame>
        </mc:Choice>
        <mc:Fallback xmlns="">
          <xdr:sp macro="" textlink="">
            <xdr:nvSpPr>
              <xdr:cNvPr id="0" name=""/>
              <xdr:cNvSpPr>
                <a:spLocks noTextEdit="1"/>
              </xdr:cNvSpPr>
            </xdr:nvSpPr>
            <xdr:spPr>
              <a:xfrm>
                <a:off x="442999" y="1714500"/>
                <a:ext cx="3643484" cy="361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6" name="Market Position 2">
                <a:extLst>
                  <a:ext uri="{FF2B5EF4-FFF2-40B4-BE49-F238E27FC236}">
                    <a16:creationId xmlns:a16="http://schemas.microsoft.com/office/drawing/2014/main" id="{14505F97-CA75-477B-8A33-36EB9650E25B}"/>
                  </a:ext>
                </a:extLst>
              </xdr:cNvPr>
              <xdr:cNvGraphicFramePr/>
            </xdr:nvGraphicFramePr>
            <xdr:xfrm>
              <a:off x="520664" y="9037320"/>
              <a:ext cx="4127640" cy="2773680"/>
            </xdr:xfrm>
            <a:graphic>
              <a:graphicData uri="http://schemas.microsoft.com/office/drawing/2010/slicer">
                <sle:slicer xmlns:sle="http://schemas.microsoft.com/office/drawing/2010/slicer" name="Market Position 2"/>
              </a:graphicData>
            </a:graphic>
          </xdr:graphicFrame>
        </mc:Choice>
        <mc:Fallback xmlns="">
          <xdr:sp macro="" textlink="">
            <xdr:nvSpPr>
              <xdr:cNvPr id="0" name=""/>
              <xdr:cNvSpPr>
                <a:spLocks noTextEdit="1"/>
              </xdr:cNvSpPr>
            </xdr:nvSpPr>
            <xdr:spPr>
              <a:xfrm>
                <a:off x="445178" y="9098280"/>
                <a:ext cx="3551690" cy="2773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7" name="swot_rating 2">
                <a:extLst>
                  <a:ext uri="{FF2B5EF4-FFF2-40B4-BE49-F238E27FC236}">
                    <a16:creationId xmlns:a16="http://schemas.microsoft.com/office/drawing/2014/main" id="{8B3A286A-F37D-41F6-923F-DAFC9AD4D6A1}"/>
                  </a:ext>
                </a:extLst>
              </xdr:cNvPr>
              <xdr:cNvGraphicFramePr/>
            </xdr:nvGraphicFramePr>
            <xdr:xfrm>
              <a:off x="556207" y="5722620"/>
              <a:ext cx="4219080" cy="2857500"/>
            </xdr:xfrm>
            <a:graphic>
              <a:graphicData uri="http://schemas.microsoft.com/office/drawing/2010/slicer">
                <sle:slicer xmlns:sle="http://schemas.microsoft.com/office/drawing/2010/slicer" name="swot_rating 2"/>
              </a:graphicData>
            </a:graphic>
          </xdr:graphicFrame>
        </mc:Choice>
        <mc:Fallback xmlns="">
          <xdr:sp macro="" textlink="">
            <xdr:nvSpPr>
              <xdr:cNvPr id="0" name=""/>
              <xdr:cNvSpPr>
                <a:spLocks noTextEdit="1"/>
              </xdr:cNvSpPr>
            </xdr:nvSpPr>
            <xdr:spPr>
              <a:xfrm>
                <a:off x="475761" y="5783580"/>
                <a:ext cx="3630371"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8" name="Rectangle: Rounded Corners 47">
            <a:extLst>
              <a:ext uri="{FF2B5EF4-FFF2-40B4-BE49-F238E27FC236}">
                <a16:creationId xmlns:a16="http://schemas.microsoft.com/office/drawing/2014/main" id="{65457BAA-A6D0-49A0-BF5A-375407D48822}"/>
              </a:ext>
            </a:extLst>
          </xdr:cNvPr>
          <xdr:cNvSpPr/>
        </xdr:nvSpPr>
        <xdr:spPr>
          <a:xfrm>
            <a:off x="198120" y="1371600"/>
            <a:ext cx="4976890" cy="1085088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335280</xdr:colOff>
      <xdr:row>17</xdr:row>
      <xdr:rowOff>137160</xdr:rowOff>
    </xdr:from>
    <xdr:to>
      <xdr:col>32</xdr:col>
      <xdr:colOff>533400</xdr:colOff>
      <xdr:row>68</xdr:row>
      <xdr:rowOff>106680</xdr:rowOff>
    </xdr:to>
    <xdr:sp macro="" textlink="">
      <xdr:nvSpPr>
        <xdr:cNvPr id="56" name="Rectangle: Rounded Corners 55">
          <a:extLst>
            <a:ext uri="{FF2B5EF4-FFF2-40B4-BE49-F238E27FC236}">
              <a16:creationId xmlns:a16="http://schemas.microsoft.com/office/drawing/2014/main" id="{8CE56159-EA49-42BA-9376-1826CB10F3BE}"/>
            </a:ext>
          </a:extLst>
        </xdr:cNvPr>
        <xdr:cNvSpPr/>
      </xdr:nvSpPr>
      <xdr:spPr>
        <a:xfrm>
          <a:off x="11308080" y="3246120"/>
          <a:ext cx="8732520" cy="9296400"/>
        </a:xfrm>
        <a:prstGeom prst="roundRect">
          <a:avLst>
            <a:gd name="adj" fmla="val 1011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106680</xdr:colOff>
      <xdr:row>19</xdr:row>
      <xdr:rowOff>106680</xdr:rowOff>
    </xdr:from>
    <xdr:to>
      <xdr:col>33</xdr:col>
      <xdr:colOff>182880</xdr:colOff>
      <xdr:row>67</xdr:row>
      <xdr:rowOff>60960</xdr:rowOff>
    </xdr:to>
    <xdr:graphicFrame macro="">
      <xdr:nvGraphicFramePr>
        <xdr:cNvPr id="58" name="Chart 57">
          <a:extLst>
            <a:ext uri="{FF2B5EF4-FFF2-40B4-BE49-F238E27FC236}">
              <a16:creationId xmlns:a16="http://schemas.microsoft.com/office/drawing/2014/main" id="{45A6306B-9C0A-4A14-BCA6-F470C2791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350520</xdr:colOff>
      <xdr:row>17</xdr:row>
      <xdr:rowOff>121920</xdr:rowOff>
    </xdr:from>
    <xdr:to>
      <xdr:col>18</xdr:col>
      <xdr:colOff>365760</xdr:colOff>
      <xdr:row>41</xdr:row>
      <xdr:rowOff>15240</xdr:rowOff>
    </xdr:to>
    <xdr:sp macro="" textlink="">
      <xdr:nvSpPr>
        <xdr:cNvPr id="57" name="Rectangle: Rounded Corners 56">
          <a:extLst>
            <a:ext uri="{FF2B5EF4-FFF2-40B4-BE49-F238E27FC236}">
              <a16:creationId xmlns:a16="http://schemas.microsoft.com/office/drawing/2014/main" id="{360158AB-8617-4C7E-8845-7D257031FDED}"/>
            </a:ext>
          </a:extLst>
        </xdr:cNvPr>
        <xdr:cNvSpPr/>
      </xdr:nvSpPr>
      <xdr:spPr>
        <a:xfrm>
          <a:off x="4617720" y="3230880"/>
          <a:ext cx="6720840" cy="4282440"/>
        </a:xfrm>
        <a:prstGeom prst="roundRect">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441960</xdr:colOff>
      <xdr:row>42</xdr:row>
      <xdr:rowOff>15240</xdr:rowOff>
    </xdr:from>
    <xdr:to>
      <xdr:col>18</xdr:col>
      <xdr:colOff>457200</xdr:colOff>
      <xdr:row>67</xdr:row>
      <xdr:rowOff>91440</xdr:rowOff>
    </xdr:to>
    <xdr:sp macro="" textlink="">
      <xdr:nvSpPr>
        <xdr:cNvPr id="60" name="Rectangle: Rounded Corners 59">
          <a:extLst>
            <a:ext uri="{FF2B5EF4-FFF2-40B4-BE49-F238E27FC236}">
              <a16:creationId xmlns:a16="http://schemas.microsoft.com/office/drawing/2014/main" id="{A432A68A-7B73-423B-BA97-4A5A91C8D7D2}"/>
            </a:ext>
          </a:extLst>
        </xdr:cNvPr>
        <xdr:cNvSpPr/>
      </xdr:nvSpPr>
      <xdr:spPr>
        <a:xfrm>
          <a:off x="4709160" y="7696200"/>
          <a:ext cx="6720840" cy="4648200"/>
        </a:xfrm>
        <a:prstGeom prst="roundRect">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41</xdr:row>
      <xdr:rowOff>167640</xdr:rowOff>
    </xdr:from>
    <xdr:to>
      <xdr:col>18</xdr:col>
      <xdr:colOff>289560</xdr:colOff>
      <xdr:row>67</xdr:row>
      <xdr:rowOff>30480</xdr:rowOff>
    </xdr:to>
    <xdr:graphicFrame macro="">
      <xdr:nvGraphicFramePr>
        <xdr:cNvPr id="61" name="Chart 60">
          <a:extLst>
            <a:ext uri="{FF2B5EF4-FFF2-40B4-BE49-F238E27FC236}">
              <a16:creationId xmlns:a16="http://schemas.microsoft.com/office/drawing/2014/main" id="{B721C298-1B20-4342-A7C8-5D293B16B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579120</xdr:colOff>
      <xdr:row>17</xdr:row>
      <xdr:rowOff>106680</xdr:rowOff>
    </xdr:from>
    <xdr:to>
      <xdr:col>18</xdr:col>
      <xdr:colOff>228600</xdr:colOff>
      <xdr:row>41</xdr:row>
      <xdr:rowOff>76200</xdr:rowOff>
    </xdr:to>
    <xdr:graphicFrame macro="">
      <xdr:nvGraphicFramePr>
        <xdr:cNvPr id="62" name="Chart 61">
          <a:extLst>
            <a:ext uri="{FF2B5EF4-FFF2-40B4-BE49-F238E27FC236}">
              <a16:creationId xmlns:a16="http://schemas.microsoft.com/office/drawing/2014/main" id="{CF6334A4-EB78-4985-8B65-408305CD4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152400</xdr:colOff>
      <xdr:row>18</xdr:row>
      <xdr:rowOff>0</xdr:rowOff>
    </xdr:from>
    <xdr:ext cx="184731" cy="264560"/>
    <xdr:sp macro="" textlink="">
      <xdr:nvSpPr>
        <xdr:cNvPr id="59" name="TextBox 58">
          <a:extLst>
            <a:ext uri="{FF2B5EF4-FFF2-40B4-BE49-F238E27FC236}">
              <a16:creationId xmlns:a16="http://schemas.microsoft.com/office/drawing/2014/main" id="{B6E26EF3-AB59-452C-BA6A-D2D05E6BC2CD}"/>
            </a:ext>
          </a:extLst>
        </xdr:cNvPr>
        <xdr:cNvSpPr txBox="1"/>
      </xdr:nvSpPr>
      <xdr:spPr>
        <a:xfrm>
          <a:off x="5638800" y="3291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33</xdr:col>
      <xdr:colOff>457200</xdr:colOff>
      <xdr:row>17</xdr:row>
      <xdr:rowOff>106680</xdr:rowOff>
    </xdr:from>
    <xdr:to>
      <xdr:col>46</xdr:col>
      <xdr:colOff>533400</xdr:colOff>
      <xdr:row>44</xdr:row>
      <xdr:rowOff>106680</xdr:rowOff>
    </xdr:to>
    <xdr:grpSp>
      <xdr:nvGrpSpPr>
        <xdr:cNvPr id="4098" name="Group 4097">
          <a:extLst>
            <a:ext uri="{FF2B5EF4-FFF2-40B4-BE49-F238E27FC236}">
              <a16:creationId xmlns:a16="http://schemas.microsoft.com/office/drawing/2014/main" id="{A69919FE-ACCB-49FC-8C54-EE37794A90A4}"/>
            </a:ext>
          </a:extLst>
        </xdr:cNvPr>
        <xdr:cNvGrpSpPr/>
      </xdr:nvGrpSpPr>
      <xdr:grpSpPr>
        <a:xfrm>
          <a:off x="20574000" y="3215640"/>
          <a:ext cx="8001000" cy="4937760"/>
          <a:chOff x="21320760" y="3215640"/>
          <a:chExt cx="7193280" cy="5136436"/>
        </a:xfrm>
      </xdr:grpSpPr>
      <xdr:grpSp>
        <xdr:nvGrpSpPr>
          <xdr:cNvPr id="79" name="Group 78">
            <a:extLst>
              <a:ext uri="{FF2B5EF4-FFF2-40B4-BE49-F238E27FC236}">
                <a16:creationId xmlns:a16="http://schemas.microsoft.com/office/drawing/2014/main" id="{41F44F93-8BED-40F8-A27E-56872CDB6D81}"/>
              </a:ext>
            </a:extLst>
          </xdr:cNvPr>
          <xdr:cNvGrpSpPr/>
        </xdr:nvGrpSpPr>
        <xdr:grpSpPr>
          <a:xfrm>
            <a:off x="21320760" y="3215640"/>
            <a:ext cx="7117080" cy="5044440"/>
            <a:chOff x="6659880" y="9128760"/>
            <a:chExt cx="9768840" cy="2956560"/>
          </a:xfrm>
        </xdr:grpSpPr>
        <xdr:sp macro="" textlink="">
          <xdr:nvSpPr>
            <xdr:cNvPr id="81" name="Rectangle: Rounded Corners 80">
              <a:extLst>
                <a:ext uri="{FF2B5EF4-FFF2-40B4-BE49-F238E27FC236}">
                  <a16:creationId xmlns:a16="http://schemas.microsoft.com/office/drawing/2014/main" id="{6D747906-2D44-4371-B05D-5707463E44EE}"/>
                </a:ext>
              </a:extLst>
            </xdr:cNvPr>
            <xdr:cNvSpPr/>
          </xdr:nvSpPr>
          <xdr:spPr>
            <a:xfrm>
              <a:off x="6659880" y="9128760"/>
              <a:ext cx="9768840" cy="295656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Rectangle: Rounded Corners 81">
              <a:extLst>
                <a:ext uri="{FF2B5EF4-FFF2-40B4-BE49-F238E27FC236}">
                  <a16:creationId xmlns:a16="http://schemas.microsoft.com/office/drawing/2014/main" id="{EC5A61AD-652B-4635-95AE-352DDD30F4D5}"/>
                </a:ext>
              </a:extLst>
            </xdr:cNvPr>
            <xdr:cNvSpPr/>
          </xdr:nvSpPr>
          <xdr:spPr>
            <a:xfrm>
              <a:off x="6659880" y="9128761"/>
              <a:ext cx="9768840" cy="563880"/>
            </a:xfrm>
            <a:prstGeom prst="roundRect">
              <a:avLst/>
            </a:prstGeom>
            <a:solidFill>
              <a:srgbClr val="8B5CF6"/>
            </a:solid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t>Insights:</a:t>
              </a:r>
            </a:p>
          </xdr:txBody>
        </xdr:sp>
      </xdr:grpSp>
      <xdr:sp macro="" textlink="">
        <xdr:nvSpPr>
          <xdr:cNvPr id="4096" name="TextBox 4095">
            <a:extLst>
              <a:ext uri="{FF2B5EF4-FFF2-40B4-BE49-F238E27FC236}">
                <a16:creationId xmlns:a16="http://schemas.microsoft.com/office/drawing/2014/main" id="{F09F100D-67E1-4C48-8F77-28959B300D22}"/>
              </a:ext>
            </a:extLst>
          </xdr:cNvPr>
          <xdr:cNvSpPr txBox="1"/>
        </xdr:nvSpPr>
        <xdr:spPr>
          <a:xfrm>
            <a:off x="21595080" y="4130040"/>
            <a:ext cx="6918960" cy="4222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dk1"/>
                </a:solidFill>
                <a:effectLst/>
                <a:latin typeface="+mn-lt"/>
                <a:ea typeface="+mn-ea"/>
                <a:cs typeface="+mn-cs"/>
              </a:rPr>
              <a:t>- Technology industry shows the strongest balance between growth potential and risk management </a:t>
            </a:r>
          </a:p>
          <a:p>
            <a:endParaRPr lang="en-US" sz="200">
              <a:effectLst/>
            </a:endParaRPr>
          </a:p>
          <a:p>
            <a:r>
              <a:rPr lang="en-US" sz="2400">
                <a:solidFill>
                  <a:schemeClr val="dk1"/>
                </a:solidFill>
                <a:effectLst/>
                <a:latin typeface="+mn-lt"/>
                <a:ea typeface="+mn-ea"/>
                <a:cs typeface="+mn-cs"/>
              </a:rPr>
              <a:t>- Retail industry demonstrates strong growth opportunities but carries moderate strategic risk </a:t>
            </a:r>
          </a:p>
          <a:p>
            <a:endParaRPr lang="en-US" sz="200">
              <a:effectLst/>
            </a:endParaRPr>
          </a:p>
          <a:p>
            <a:r>
              <a:rPr lang="en-US" sz="2400">
                <a:solidFill>
                  <a:schemeClr val="dk1"/>
                </a:solidFill>
                <a:effectLst/>
                <a:latin typeface="+mn-lt"/>
                <a:ea typeface="+mn-ea"/>
                <a:cs typeface="+mn-cs"/>
              </a:rPr>
              <a:t>- Finance industry has higher risk exposure compared to its overall growth performance </a:t>
            </a:r>
          </a:p>
          <a:p>
            <a:endParaRPr lang="en-US" sz="200">
              <a:effectLst/>
            </a:endParaRPr>
          </a:p>
          <a:p>
            <a:r>
              <a:rPr lang="en-US" sz="2400">
                <a:solidFill>
                  <a:schemeClr val="dk1"/>
                </a:solidFill>
                <a:effectLst/>
                <a:latin typeface="+mn-lt"/>
                <a:ea typeface="+mn-ea"/>
                <a:cs typeface="+mn-cs"/>
              </a:rPr>
              <a:t>Manufacturing and Healthcare industries show more stable and balanced positioning </a:t>
            </a:r>
          </a:p>
          <a:p>
            <a:endParaRPr lang="en-US" sz="200">
              <a:effectLst/>
            </a:endParaRPr>
          </a:p>
          <a:p>
            <a:r>
              <a:rPr lang="en-US" sz="2400">
                <a:solidFill>
                  <a:schemeClr val="dk1"/>
                </a:solidFill>
                <a:effectLst/>
                <a:latin typeface="+mn-lt"/>
                <a:ea typeface="+mn-ea"/>
                <a:cs typeface="+mn-cs"/>
              </a:rPr>
              <a:t>Industries with strong opportunity scores tend to achieve better long-term growth potential</a:t>
            </a:r>
            <a:endParaRPr lang="en-US" sz="2400">
              <a:effectLst/>
            </a:endParaRPr>
          </a:p>
          <a:p>
            <a:endParaRPr lang="en-US" sz="2000"/>
          </a:p>
        </xdr:txBody>
      </xdr:sp>
    </xdr:grpSp>
    <xdr:clientData/>
  </xdr:twoCellAnchor>
  <xdr:twoCellAnchor>
    <xdr:from>
      <xdr:col>33</xdr:col>
      <xdr:colOff>563880</xdr:colOff>
      <xdr:row>44</xdr:row>
      <xdr:rowOff>152400</xdr:rowOff>
    </xdr:from>
    <xdr:to>
      <xdr:col>46</xdr:col>
      <xdr:colOff>365760</xdr:colOff>
      <xdr:row>67</xdr:row>
      <xdr:rowOff>91440</xdr:rowOff>
    </xdr:to>
    <xdr:grpSp>
      <xdr:nvGrpSpPr>
        <xdr:cNvPr id="86" name="Group 85">
          <a:extLst>
            <a:ext uri="{FF2B5EF4-FFF2-40B4-BE49-F238E27FC236}">
              <a16:creationId xmlns:a16="http://schemas.microsoft.com/office/drawing/2014/main" id="{37915EB8-C210-472E-99C7-D9A3F73428FA}"/>
            </a:ext>
          </a:extLst>
        </xdr:cNvPr>
        <xdr:cNvGrpSpPr/>
      </xdr:nvGrpSpPr>
      <xdr:grpSpPr>
        <a:xfrm>
          <a:off x="20680680" y="8199120"/>
          <a:ext cx="7726680" cy="4145280"/>
          <a:chOff x="6659880" y="9128760"/>
          <a:chExt cx="9768840" cy="2956560"/>
        </a:xfrm>
      </xdr:grpSpPr>
      <xdr:sp macro="" textlink="">
        <xdr:nvSpPr>
          <xdr:cNvPr id="87" name="Rectangle: Rounded Corners 86">
            <a:extLst>
              <a:ext uri="{FF2B5EF4-FFF2-40B4-BE49-F238E27FC236}">
                <a16:creationId xmlns:a16="http://schemas.microsoft.com/office/drawing/2014/main" id="{704740F4-D4E8-48A1-982C-A87A19423FD2}"/>
              </a:ext>
            </a:extLst>
          </xdr:cNvPr>
          <xdr:cNvSpPr/>
        </xdr:nvSpPr>
        <xdr:spPr>
          <a:xfrm>
            <a:off x="6659880" y="9128760"/>
            <a:ext cx="9768840" cy="2956560"/>
          </a:xfrm>
          <a:prstGeom prst="roundRect">
            <a:avLst/>
          </a:prstGeom>
          <a:no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Rectangle: Rounded Corners 87">
            <a:extLst>
              <a:ext uri="{FF2B5EF4-FFF2-40B4-BE49-F238E27FC236}">
                <a16:creationId xmlns:a16="http://schemas.microsoft.com/office/drawing/2014/main" id="{FAE74F81-78C0-4F63-A1D9-31E278F19706}"/>
              </a:ext>
            </a:extLst>
          </xdr:cNvPr>
          <xdr:cNvSpPr/>
        </xdr:nvSpPr>
        <xdr:spPr>
          <a:xfrm>
            <a:off x="6659880" y="9128761"/>
            <a:ext cx="9768840" cy="563880"/>
          </a:xfrm>
          <a:prstGeom prst="roundRect">
            <a:avLst/>
          </a:prstGeom>
          <a:solidFill>
            <a:srgbClr val="8B5CF6"/>
          </a:solidFill>
          <a:ln w="3175">
            <a:solidFill>
              <a:srgbClr val="8B5CF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t>Recommendations:</a:t>
            </a:r>
          </a:p>
        </xdr:txBody>
      </xdr:sp>
    </xdr:grpSp>
    <xdr:clientData/>
  </xdr:twoCellAnchor>
  <xdr:twoCellAnchor>
    <xdr:from>
      <xdr:col>34</xdr:col>
      <xdr:colOff>15240</xdr:colOff>
      <xdr:row>49</xdr:row>
      <xdr:rowOff>76200</xdr:rowOff>
    </xdr:from>
    <xdr:to>
      <xdr:col>46</xdr:col>
      <xdr:colOff>426720</xdr:colOff>
      <xdr:row>66</xdr:row>
      <xdr:rowOff>152400</xdr:rowOff>
    </xdr:to>
    <xdr:sp macro="" textlink="">
      <xdr:nvSpPr>
        <xdr:cNvPr id="90" name="TextBox 89">
          <a:extLst>
            <a:ext uri="{FF2B5EF4-FFF2-40B4-BE49-F238E27FC236}">
              <a16:creationId xmlns:a16="http://schemas.microsoft.com/office/drawing/2014/main" id="{147D9662-C791-4989-8D52-FABA96A6FDD1}"/>
            </a:ext>
          </a:extLst>
        </xdr:cNvPr>
        <xdr:cNvSpPr txBox="1"/>
      </xdr:nvSpPr>
      <xdr:spPr>
        <a:xfrm>
          <a:off x="20741640" y="9037320"/>
          <a:ext cx="7726680" cy="3185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 Companies should focus on industries with high growth and manageable risk levels</a:t>
          </a:r>
        </a:p>
        <a:p>
          <a:endParaRPr lang="en-US" sz="200"/>
        </a:p>
        <a:p>
          <a:r>
            <a:rPr lang="en-US" sz="2400"/>
            <a:t>- High-risk industries should improve operational efficiency and reduce external dependencies</a:t>
          </a:r>
        </a:p>
        <a:p>
          <a:endParaRPr lang="en-US" sz="200" baseline="0"/>
        </a:p>
        <a:p>
          <a:r>
            <a:rPr lang="en-US" sz="2400"/>
            <a:t>- Businesses should strengthen weak areas before expanding into new markets </a:t>
          </a:r>
        </a:p>
        <a:p>
          <a:endParaRPr lang="en-US" sz="200"/>
        </a:p>
        <a:p>
          <a:r>
            <a:rPr lang="en-US" sz="2400"/>
            <a:t>- Strategic investment should prioritize innovation and market opportunities </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0.05487</cdr:x>
      <cdr:y>0.09948</cdr:y>
    </cdr:from>
    <cdr:to>
      <cdr:x>0.50442</cdr:x>
      <cdr:y>0.51309</cdr:y>
    </cdr:to>
    <cdr:sp macro="" textlink="">
      <cdr:nvSpPr>
        <cdr:cNvPr id="20" name="Rectangle 19">
          <a:extLst xmlns:a="http://schemas.openxmlformats.org/drawingml/2006/main">
            <a:ext uri="{FF2B5EF4-FFF2-40B4-BE49-F238E27FC236}">
              <a16:creationId xmlns:a16="http://schemas.microsoft.com/office/drawing/2014/main" id="{EF574ADD-D892-4AD3-98D1-29CAEE7123AA}"/>
            </a:ext>
          </a:extLst>
        </cdr:cNvPr>
        <cdr:cNvSpPr/>
      </cdr:nvSpPr>
      <cdr:spPr>
        <a:xfrm xmlns:a="http://schemas.openxmlformats.org/drawingml/2006/main">
          <a:off x="472440" y="868680"/>
          <a:ext cx="3870960" cy="3611880"/>
        </a:xfrm>
        <a:prstGeom xmlns:a="http://schemas.openxmlformats.org/drawingml/2006/main" prst="rect">
          <a:avLst/>
        </a:prstGeom>
        <a:solidFill xmlns:a="http://schemas.openxmlformats.org/drawingml/2006/main">
          <a:srgbClr val="E9D5FF">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0.50265</cdr:x>
      <cdr:y>0.06108</cdr:y>
    </cdr:from>
    <cdr:to>
      <cdr:x>0.50619</cdr:x>
      <cdr:y>0.97033</cdr:y>
    </cdr:to>
    <cdr:cxnSp macro="">
      <cdr:nvCxnSpPr>
        <cdr:cNvPr id="7" name="Straight Arrow Connector 6">
          <a:extLst xmlns:a="http://schemas.openxmlformats.org/drawingml/2006/main">
            <a:ext uri="{FF2B5EF4-FFF2-40B4-BE49-F238E27FC236}">
              <a16:creationId xmlns:a16="http://schemas.microsoft.com/office/drawing/2014/main" id="{4D67582B-1230-445C-9B44-2C6E57D13275}"/>
            </a:ext>
          </a:extLst>
        </cdr:cNvPr>
        <cdr:cNvCxnSpPr/>
      </cdr:nvCxnSpPr>
      <cdr:spPr>
        <a:xfrm xmlns:a="http://schemas.openxmlformats.org/drawingml/2006/main" flipV="1">
          <a:off x="4328160" y="533400"/>
          <a:ext cx="30480" cy="7940040"/>
        </a:xfrm>
        <a:prstGeom xmlns:a="http://schemas.openxmlformats.org/drawingml/2006/main" prst="straightConnector1">
          <a:avLst/>
        </a:prstGeom>
        <a:ln xmlns:a="http://schemas.openxmlformats.org/drawingml/2006/main">
          <a:solidFill>
            <a:schemeClr val="tx1">
              <a:lumMod val="75000"/>
              <a:lumOff val="25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0.03717</cdr:x>
      <cdr:y>0.50785</cdr:y>
    </cdr:from>
    <cdr:to>
      <cdr:x>1</cdr:x>
      <cdr:y>0.51134</cdr:y>
    </cdr:to>
    <cdr:cxnSp macro="">
      <cdr:nvCxnSpPr>
        <cdr:cNvPr id="11" name="Straight Arrow Connector 10">
          <a:extLst xmlns:a="http://schemas.openxmlformats.org/drawingml/2006/main">
            <a:ext uri="{FF2B5EF4-FFF2-40B4-BE49-F238E27FC236}">
              <a16:creationId xmlns:a16="http://schemas.microsoft.com/office/drawing/2014/main" id="{1DAB4099-2B54-47F5-9D15-FAC0BFBC59C0}"/>
            </a:ext>
          </a:extLst>
        </cdr:cNvPr>
        <cdr:cNvCxnSpPr/>
      </cdr:nvCxnSpPr>
      <cdr:spPr>
        <a:xfrm xmlns:a="http://schemas.openxmlformats.org/drawingml/2006/main" flipV="1">
          <a:off x="320040" y="4434840"/>
          <a:ext cx="8290560" cy="30480"/>
        </a:xfrm>
        <a:prstGeom xmlns:a="http://schemas.openxmlformats.org/drawingml/2006/main" prst="straightConnector1">
          <a:avLst/>
        </a:prstGeom>
        <a:ln xmlns:a="http://schemas.openxmlformats.org/drawingml/2006/main">
          <a:solidFill>
            <a:schemeClr val="tx1">
              <a:lumMod val="75000"/>
              <a:lumOff val="25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cdr:x>
      <cdr:y>0</cdr:y>
    </cdr:from>
    <cdr:to>
      <cdr:x>0.18938</cdr:x>
      <cdr:y>0.04014</cdr:y>
    </cdr:to>
    <cdr:sp macro="" textlink="">
      <cdr:nvSpPr>
        <cdr:cNvPr id="12" name="TextBox 11">
          <a:extLst xmlns:a="http://schemas.openxmlformats.org/drawingml/2006/main">
            <a:ext uri="{FF2B5EF4-FFF2-40B4-BE49-F238E27FC236}">
              <a16:creationId xmlns:a16="http://schemas.microsoft.com/office/drawing/2014/main" id="{63B2EA1D-9D9B-4F0B-853A-C8394A784BD1}"/>
            </a:ext>
          </a:extLst>
        </cdr:cNvPr>
        <cdr:cNvSpPr txBox="1"/>
      </cdr:nvSpPr>
      <cdr:spPr>
        <a:xfrm xmlns:a="http://schemas.openxmlformats.org/drawingml/2006/main">
          <a:off x="0" y="0"/>
          <a:ext cx="1630680" cy="3505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600" b="1"/>
            <a:t>Strategic Leaders</a:t>
          </a:r>
        </a:p>
        <a:p xmlns:a="http://schemas.openxmlformats.org/drawingml/2006/main">
          <a:endParaRPr lang="en-US" sz="1100"/>
        </a:p>
      </cdr:txBody>
    </cdr:sp>
  </cdr:relSizeAnchor>
  <cdr:relSizeAnchor xmlns:cdr="http://schemas.openxmlformats.org/drawingml/2006/chartDrawing">
    <cdr:from>
      <cdr:x>0.81416</cdr:x>
      <cdr:y>0.01454</cdr:y>
    </cdr:from>
    <cdr:to>
      <cdr:x>1</cdr:x>
      <cdr:y>0.04712</cdr:y>
    </cdr:to>
    <cdr:sp macro="" textlink="">
      <cdr:nvSpPr>
        <cdr:cNvPr id="13" name="TextBox 1">
          <a:extLst xmlns:a="http://schemas.openxmlformats.org/drawingml/2006/main">
            <a:ext uri="{FF2B5EF4-FFF2-40B4-BE49-F238E27FC236}">
              <a16:creationId xmlns:a16="http://schemas.microsoft.com/office/drawing/2014/main" id="{4FD56289-FD05-4D5D-9012-81320DD36F1F}"/>
            </a:ext>
          </a:extLst>
        </cdr:cNvPr>
        <cdr:cNvSpPr txBox="1"/>
      </cdr:nvSpPr>
      <cdr:spPr>
        <a:xfrm xmlns:a="http://schemas.openxmlformats.org/drawingml/2006/main">
          <a:off x="7010400" y="127000"/>
          <a:ext cx="1600200" cy="2844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Aggressive Growth</a:t>
          </a:r>
        </a:p>
      </cdr:txBody>
    </cdr:sp>
  </cdr:relSizeAnchor>
  <cdr:relSizeAnchor xmlns:cdr="http://schemas.openxmlformats.org/drawingml/2006/chartDrawing">
    <cdr:from>
      <cdr:x>0.00354</cdr:x>
      <cdr:y>0.95695</cdr:y>
    </cdr:from>
    <cdr:to>
      <cdr:x>0.23009</cdr:x>
      <cdr:y>0.98604</cdr:y>
    </cdr:to>
    <cdr:sp macro="" textlink="">
      <cdr:nvSpPr>
        <cdr:cNvPr id="14" name="TextBox 1">
          <a:extLst xmlns:a="http://schemas.openxmlformats.org/drawingml/2006/main">
            <a:ext uri="{FF2B5EF4-FFF2-40B4-BE49-F238E27FC236}">
              <a16:creationId xmlns:a16="http://schemas.microsoft.com/office/drawing/2014/main" id="{177EF9AA-21B9-4CC1-8391-585218D905A7}"/>
            </a:ext>
          </a:extLst>
        </cdr:cNvPr>
        <cdr:cNvSpPr txBox="1"/>
      </cdr:nvSpPr>
      <cdr:spPr>
        <a:xfrm xmlns:a="http://schemas.openxmlformats.org/drawingml/2006/main">
          <a:off x="30480" y="8356600"/>
          <a:ext cx="1950720" cy="2540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Stable Industries</a:t>
          </a:r>
        </a:p>
      </cdr:txBody>
    </cdr:sp>
  </cdr:relSizeAnchor>
  <cdr:relSizeAnchor xmlns:cdr="http://schemas.openxmlformats.org/drawingml/2006/chartDrawing">
    <cdr:from>
      <cdr:x>0.79469</cdr:x>
      <cdr:y>0.95462</cdr:y>
    </cdr:from>
    <cdr:to>
      <cdr:x>0.99764</cdr:x>
      <cdr:y>1</cdr:y>
    </cdr:to>
    <cdr:sp macro="" textlink="">
      <cdr:nvSpPr>
        <cdr:cNvPr id="15" name="TextBox 1">
          <a:extLst xmlns:a="http://schemas.openxmlformats.org/drawingml/2006/main">
            <a:ext uri="{FF2B5EF4-FFF2-40B4-BE49-F238E27FC236}">
              <a16:creationId xmlns:a16="http://schemas.microsoft.com/office/drawing/2014/main" id="{5E718618-471A-40F6-90EE-72EFDBED9809}"/>
            </a:ext>
          </a:extLst>
        </cdr:cNvPr>
        <cdr:cNvSpPr txBox="1"/>
      </cdr:nvSpPr>
      <cdr:spPr>
        <a:xfrm xmlns:a="http://schemas.openxmlformats.org/drawingml/2006/main">
          <a:off x="6842760" y="8336280"/>
          <a:ext cx="1747520" cy="39624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b="1"/>
            <a:t>High Risk Industries</a:t>
          </a:r>
        </a:p>
      </cdr:txBody>
    </cdr:sp>
  </cdr:relSizeAnchor>
  <cdr:relSizeAnchor xmlns:cdr="http://schemas.openxmlformats.org/drawingml/2006/chartDrawing">
    <cdr:from>
      <cdr:x>0.46254</cdr:x>
      <cdr:y>0.96859</cdr:y>
    </cdr:from>
    <cdr:to>
      <cdr:x>0.65015</cdr:x>
      <cdr:y>1</cdr:y>
    </cdr:to>
    <cdr:sp macro="" textlink="">
      <cdr:nvSpPr>
        <cdr:cNvPr id="18" name="TextBox 1">
          <a:extLst xmlns:a="http://schemas.openxmlformats.org/drawingml/2006/main">
            <a:ext uri="{FF2B5EF4-FFF2-40B4-BE49-F238E27FC236}">
              <a16:creationId xmlns:a16="http://schemas.microsoft.com/office/drawing/2014/main" id="{577B11EE-0773-4D53-BA1C-C29C6DA4C448}"/>
            </a:ext>
          </a:extLst>
        </cdr:cNvPr>
        <cdr:cNvSpPr txBox="1"/>
      </cdr:nvSpPr>
      <cdr:spPr>
        <a:xfrm xmlns:a="http://schemas.openxmlformats.org/drawingml/2006/main">
          <a:off x="3982720" y="8458200"/>
          <a:ext cx="1615440" cy="2743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400" b="1" i="0"/>
            <a:t>Risk Score</a:t>
          </a:r>
        </a:p>
      </cdr:txBody>
    </cdr:sp>
  </cdr:relSizeAnchor>
  <cdr:relSizeAnchor xmlns:cdr="http://schemas.openxmlformats.org/drawingml/2006/chartDrawing">
    <cdr:from>
      <cdr:x>0.03068</cdr:x>
      <cdr:y>0.47179</cdr:y>
    </cdr:from>
    <cdr:to>
      <cdr:x>0.21829</cdr:x>
      <cdr:y>0.5765</cdr:y>
    </cdr:to>
    <cdr:sp macro="" textlink="">
      <cdr:nvSpPr>
        <cdr:cNvPr id="19" name="TextBox 1">
          <a:extLst xmlns:a="http://schemas.openxmlformats.org/drawingml/2006/main">
            <a:ext uri="{FF2B5EF4-FFF2-40B4-BE49-F238E27FC236}">
              <a16:creationId xmlns:a16="http://schemas.microsoft.com/office/drawing/2014/main" id="{2CE11E42-DED5-44B4-85D6-1CBC2C3DA82A}"/>
            </a:ext>
          </a:extLst>
        </cdr:cNvPr>
        <cdr:cNvSpPr txBox="1"/>
      </cdr:nvSpPr>
      <cdr:spPr>
        <a:xfrm xmlns:a="http://schemas.openxmlformats.org/drawingml/2006/main">
          <a:off x="264160" y="4119880"/>
          <a:ext cx="1615440" cy="9144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400" b="1"/>
            <a:t>Growth Score</a:t>
          </a:r>
        </a:p>
      </cdr:txBody>
    </cdr:sp>
  </cdr:relSizeAnchor>
  <cdr:relSizeAnchor xmlns:cdr="http://schemas.openxmlformats.org/drawingml/2006/chartDrawing">
    <cdr:from>
      <cdr:x>0.51032</cdr:x>
      <cdr:y>0.09657</cdr:y>
    </cdr:from>
    <cdr:to>
      <cdr:x>0.95988</cdr:x>
      <cdr:y>0.51018</cdr:y>
    </cdr:to>
    <cdr:sp macro="" textlink="">
      <cdr:nvSpPr>
        <cdr:cNvPr id="23" name="Rectangle 22">
          <a:extLst xmlns:a="http://schemas.openxmlformats.org/drawingml/2006/main">
            <a:ext uri="{FF2B5EF4-FFF2-40B4-BE49-F238E27FC236}">
              <a16:creationId xmlns:a16="http://schemas.microsoft.com/office/drawing/2014/main" id="{9A74A71C-F67E-4C5E-81E8-A547CE5F991D}"/>
            </a:ext>
          </a:extLst>
        </cdr:cNvPr>
        <cdr:cNvSpPr/>
      </cdr:nvSpPr>
      <cdr:spPr>
        <a:xfrm xmlns:a="http://schemas.openxmlformats.org/drawingml/2006/main">
          <a:off x="4394200" y="843280"/>
          <a:ext cx="3870960" cy="3611880"/>
        </a:xfrm>
        <a:prstGeom xmlns:a="http://schemas.openxmlformats.org/drawingml/2006/main" prst="rect">
          <a:avLst/>
        </a:prstGeom>
        <a:solidFill xmlns:a="http://schemas.openxmlformats.org/drawingml/2006/main">
          <a:srgbClr val="DDD6FE">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0.05546</cdr:x>
      <cdr:y>0.51193</cdr:y>
    </cdr:from>
    <cdr:to>
      <cdr:x>0.50501</cdr:x>
      <cdr:y>0.92554</cdr:y>
    </cdr:to>
    <cdr:sp macro="" textlink="">
      <cdr:nvSpPr>
        <cdr:cNvPr id="24" name="Rectangle 23">
          <a:extLst xmlns:a="http://schemas.openxmlformats.org/drawingml/2006/main">
            <a:ext uri="{FF2B5EF4-FFF2-40B4-BE49-F238E27FC236}">
              <a16:creationId xmlns:a16="http://schemas.microsoft.com/office/drawing/2014/main" id="{2F6C13EE-18D0-41B9-A278-8E05A984CAE4}"/>
            </a:ext>
          </a:extLst>
        </cdr:cNvPr>
        <cdr:cNvSpPr/>
      </cdr:nvSpPr>
      <cdr:spPr>
        <a:xfrm xmlns:a="http://schemas.openxmlformats.org/drawingml/2006/main">
          <a:off x="477520" y="4470400"/>
          <a:ext cx="3870960" cy="3611880"/>
        </a:xfrm>
        <a:prstGeom xmlns:a="http://schemas.openxmlformats.org/drawingml/2006/main" prst="rect">
          <a:avLst/>
        </a:prstGeom>
        <a:solidFill xmlns:a="http://schemas.openxmlformats.org/drawingml/2006/main">
          <a:srgbClr val="F3E8FF">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0.50678</cdr:x>
      <cdr:y>0.51193</cdr:y>
    </cdr:from>
    <cdr:to>
      <cdr:x>0.95634</cdr:x>
      <cdr:y>0.92554</cdr:y>
    </cdr:to>
    <cdr:sp macro="" textlink="">
      <cdr:nvSpPr>
        <cdr:cNvPr id="25" name="Rectangle 24">
          <a:extLst xmlns:a="http://schemas.openxmlformats.org/drawingml/2006/main">
            <a:ext uri="{FF2B5EF4-FFF2-40B4-BE49-F238E27FC236}">
              <a16:creationId xmlns:a16="http://schemas.microsoft.com/office/drawing/2014/main" id="{2F6C13EE-18D0-41B9-A278-8E05A984CAE4}"/>
            </a:ext>
          </a:extLst>
        </cdr:cNvPr>
        <cdr:cNvSpPr/>
      </cdr:nvSpPr>
      <cdr:spPr>
        <a:xfrm xmlns:a="http://schemas.openxmlformats.org/drawingml/2006/main">
          <a:off x="4363720" y="4470400"/>
          <a:ext cx="3870960" cy="3611880"/>
        </a:xfrm>
        <a:prstGeom xmlns:a="http://schemas.openxmlformats.org/drawingml/2006/main" prst="rect">
          <a:avLst/>
        </a:prstGeom>
        <a:solidFill xmlns:a="http://schemas.openxmlformats.org/drawingml/2006/main">
          <a:srgbClr val="C4B5FD">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ADOW/Desktop/swot%20(Repai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OT_Dataset"/>
      <sheetName val="Data Cleaning Sheet"/>
      <sheetName val="Executive Dashboard"/>
      <sheetName val="Industry Comparison"/>
      <sheetName val="Executive Dashboard (2)"/>
      <sheetName val="SWOT Intelligence"/>
      <sheetName val="Risk &amp; Growth"/>
    </sheetNames>
    <sheetDataSet>
      <sheetData sheetId="0"/>
      <sheetData sheetId="1"/>
      <sheetData sheetId="2"/>
      <sheetData sheetId="3">
        <row r="94">
          <cell r="BD94" t="str">
            <v>Finance</v>
          </cell>
          <cell r="BF94">
            <v>244.47596491228069</v>
          </cell>
          <cell r="BG94">
            <v>9.4438596491228068</v>
          </cell>
        </row>
        <row r="95">
          <cell r="BD95" t="str">
            <v>Healthcare</v>
          </cell>
          <cell r="BF95">
            <v>240.94178571428571</v>
          </cell>
          <cell r="BG95">
            <v>9.8258928571428577</v>
          </cell>
        </row>
        <row r="96">
          <cell r="BD96" t="str">
            <v>Manufacturing</v>
          </cell>
          <cell r="BF96">
            <v>237.32209677419354</v>
          </cell>
          <cell r="BG96">
            <v>9.7916129032258077</v>
          </cell>
        </row>
        <row r="97">
          <cell r="BD97" t="str">
            <v>Retail</v>
          </cell>
          <cell r="BF97">
            <v>245.53100000000001</v>
          </cell>
          <cell r="BG97">
            <v>10.262333333333334</v>
          </cell>
        </row>
        <row r="98">
          <cell r="BD98" t="str">
            <v>Technology</v>
          </cell>
          <cell r="BF98">
            <v>229.66246153846154</v>
          </cell>
          <cell r="BG98">
            <v>11.268923076923077</v>
          </cell>
        </row>
      </sheetData>
      <sheetData sheetId="4"/>
      <sheetData sheetId="5"/>
      <sheetData sheetId="6"/>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OW" refreshedDate="46150.914029513886" backgroundQuery="1" createdVersion="7" refreshedVersion="7" minRefreshableVersion="3" recordCount="0" supportSubquery="1" supportAdvancedDrill="1" xr:uid="{1BBBDF5C-E376-48F1-ADBE-7225CD78ABFF}">
  <cacheSource type="external" connectionId="3"/>
  <cacheFields count="1">
    <cacheField name="[Measures].[Average of revenue_millions]" caption="Average of revenue_millions" numFmtId="0" hierarchy="21" level="32767"/>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OW" refreshedDate="46150.914030208332" backgroundQuery="1" createdVersion="7" refreshedVersion="7" minRefreshableVersion="3" recordCount="0" supportSubquery="1" supportAdvancedDrill="1" xr:uid="{648F5AFD-B0E9-413D-94CE-C4BCA21FD31F}">
  <cacheSource type="external" connectionId="3"/>
  <cacheFields count="2">
    <cacheField name="[swot_analysis_dataset].[swot_rating].[swot_rating]" caption="swot_rating" numFmtId="0" hierarchy="16" level="1">
      <sharedItems count="4">
        <s v="Critical"/>
        <s v="Neutral"/>
        <s v="Positive"/>
        <s v="Strong"/>
      </sharedItems>
    </cacheField>
    <cacheField name="[Measures].[Count of company_id]" caption="Count of company_id" numFmtId="0" hierarchy="19" level="32767"/>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fieldsUsage count="2">
        <fieldUsage x="-1"/>
        <fieldUsage x="0"/>
      </fieldsUsage>
    </cacheHierarchy>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OW" refreshedDate="46150.914031018518" backgroundQuery="1" createdVersion="7" refreshedVersion="7" minRefreshableVersion="3" recordCount="0" supportSubquery="1" supportAdvancedDrill="1" xr:uid="{47FD24AA-4F56-4EE8-BC4D-5CFAE1E11CB5}">
  <cacheSource type="external" connectionId="3"/>
  <cacheFields count="2">
    <cacheField name="[Measures].[Count of company_id]" caption="Count of company_id" numFmtId="0" hierarchy="19" level="32767"/>
    <cacheField name="[swot_analysis_dataset].[market_position].[market_position]" caption="market_position" numFmtId="0" hierarchy="15" level="1">
      <sharedItems count="4">
        <s v="Challenger"/>
        <s v="Follower"/>
        <s v="Leader"/>
        <s v="Niche"/>
      </sharedItems>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1"/>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OW" refreshedDate="46150.914031481479" backgroundQuery="1" createdVersion="7" refreshedVersion="7" minRefreshableVersion="3" recordCount="0" supportSubquery="1" supportAdvancedDrill="1" xr:uid="{DC7B6554-43E3-440B-B94E-75E40E79EB81}">
  <cacheSource type="external" connectionId="3"/>
  <cacheFields count="1">
    <cacheField name="[Measures].[Count of company_id]" caption="Count of company_id" numFmtId="0" hierarchy="19" level="32767"/>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OW" refreshedDate="46150.914031944441" backgroundQuery="1" createdVersion="7" refreshedVersion="7" minRefreshableVersion="3" recordCount="0" supportSubquery="1" supportAdvancedDrill="1" xr:uid="{7B7035B5-31C1-46A0-89E0-8C6E7059F759}">
  <cacheSource type="external" connectionId="3"/>
  <cacheFields count="1">
    <cacheField name="[Measures].[Average of profitability_margin]" caption="Average of profitability_margin" numFmtId="0" hierarchy="23" level="32767"/>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39351854" backgroundQuery="1" createdVersion="7" refreshedVersion="7" minRefreshableVersion="3" recordCount="0" supportSubquery="1" supportAdvancedDrill="1" xr:uid="{2A7FB246-9E5E-4F9F-8BCD-95E773BFF91C}">
  <cacheSource type="external" connectionId="3"/>
  <cacheFields count="3">
    <cacheField name="[swot_analysis_dataset].[swot_rating].[swot_rating]" caption="swot_rating" numFmtId="0" hierarchy="16" level="1">
      <sharedItems count="4">
        <s v="Critical"/>
        <s v="Neutral"/>
        <s v="Positive"/>
        <s v="Strong"/>
      </sharedItems>
    </cacheField>
    <cacheField name="[Measures].[Count of company_id]" caption="Count of company_id" numFmtId="0" hierarchy="19" level="32767"/>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2"/>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fieldsUsage count="2">
        <fieldUsage x="-1"/>
        <fieldUsage x="0"/>
      </fieldsUsage>
    </cacheHierarchy>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39583331" backgroundQuery="1" createdVersion="7" refreshedVersion="7" minRefreshableVersion="3" recordCount="0" supportSubquery="1" supportAdvancedDrill="1" xr:uid="{9F791130-7CB9-4083-B5A9-A619FD174E25}">
  <cacheSource type="external" connectionId="3"/>
  <cacheFields count="2">
    <cacheField name="[Measures].[Count of company_id]" caption="Count of company_id" numFmtId="0" hierarchy="19" level="32767"/>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1"/>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0393516" backgroundQuery="1" createdVersion="7" refreshedVersion="7" minRefreshableVersion="3" recordCount="0" supportSubquery="1" supportAdvancedDrill="1" xr:uid="{CBA5A724-E710-44AE-979D-D21FBCD0D2E3}">
  <cacheSource type="external" connectionId="3"/>
  <cacheFields count="2">
    <cacheField name="[Measures].[Count of company_id]" caption="Count of company_id" numFmtId="0" hierarchy="19" level="32767"/>
    <cacheField name="[swot_analysis_dataset].[market_position].[market_position]" caption="market_position" numFmtId="0" hierarchy="15" level="1">
      <sharedItems count="4">
        <s v="Challenger"/>
        <s v="Follower"/>
        <s v="Leader"/>
        <s v="Niche"/>
      </sharedItems>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1"/>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0509262" backgroundQuery="1" createdVersion="7" refreshedVersion="7" minRefreshableVersion="3" recordCount="0" supportSubquery="1" supportAdvancedDrill="1" xr:uid="{7D112D3A-511D-4D79-9BCC-05A7A2E6B607}">
  <cacheSource type="external" connectionId="3"/>
  <cacheFields count="2">
    <cacheField name="[Measures].[Average of profitability_margin]" caption="Average of profitability_margin" numFmtId="0" hierarchy="23" level="32767"/>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1"/>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0740739" backgroundQuery="1" createdVersion="7" refreshedVersion="7" minRefreshableVersion="3" recordCount="0" supportSubquery="1" supportAdvancedDrill="1" xr:uid="{A49F491D-B295-48D2-96EF-E2A5F73CAD13}">
  <cacheSource type="external" connectionId="3"/>
  <cacheFields count="2">
    <cacheField name="[Measures].[Average of revenue_millions]" caption="Average of revenue_millions" numFmtId="0" hierarchy="21" level="32767"/>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1"/>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1087963" backgroundQuery="1" createdVersion="7" refreshedVersion="7" minRefreshableVersion="3" recordCount="0" supportSubquery="1" supportAdvancedDrill="1" xr:uid="{32F19798-74B7-4349-8C11-07A0EDA127A1}">
  <cacheSource type="external" connectionId="3"/>
  <cacheFields count="4">
    <cacheField name="[swot_analysis_dataset].[primary_strength].[primary_strength]" caption="primary_strength" numFmtId="0" hierarchy="11" level="1">
      <sharedItems count="23">
        <s v="Automation"/>
        <s v="Brand Recognition"/>
        <s v="Brand Reputation"/>
        <s v="Capital Reserves"/>
        <s v="Cost Efficiency"/>
        <s v="Customer Loyalty"/>
        <s v="Customer Trust"/>
        <s v="Digital Banking"/>
        <s v="Diversified Portfolio"/>
        <s v="E-commerce Platform"/>
        <s v="Innovation"/>
        <s v="IP Portfolio"/>
        <s v="Quality Control"/>
        <s v="Market Leadership"/>
        <s v="Medical Expertise"/>
        <s v="Patient Care"/>
        <s v="Production Capacity"/>
        <s v="R&amp;D Capabilities"/>
        <s v="Regulatory Compliance"/>
        <s v="Research Facilities"/>
        <s v="Skilled Workforce"/>
        <s v="Store Network"/>
        <s v="Supply Chain"/>
      </sharedItems>
    </cacheField>
    <cacheField name="[Measures].[Count of company_id]" caption="Count of company_id" numFmtId="0" hierarchy="19" level="32767"/>
    <cacheField name="[swot_analysis_dataset].[primary_opportunity].[primary_opportunity]" caption="primary_opportunity" numFmtId="0" hierarchy="13" level="1">
      <sharedItems count="10">
        <s v="Automation"/>
        <s v="Cloud Computing"/>
        <s v="Customization Trends"/>
        <s v="Digital Banking"/>
        <s v="E-commerce Growth"/>
        <s v="Emerging Markets"/>
        <s v="Global Health Initiatives"/>
        <s v="IoT Expansion"/>
        <s v="Personalized Medicine"/>
        <s v="Sustainable Manufacturing"/>
      </sharedItems>
    </cacheField>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2" memberValueDatatype="130" unbalanced="0">
      <fieldsUsage count="2">
        <fieldUsage x="-1"/>
        <fieldUsage x="0"/>
      </fieldsUsage>
    </cacheHierarchy>
    <cacheHierarchy uniqueName="[swot_analysis_dataset].[primary_weakness]" caption="primary_weakness" attribute="1" defaultMemberUniqueName="[swot_analysis_dataset].[primary_weakness].[All]" allUniqueName="[swot_analysis_dataset].[primary_weakness].[All]" dimensionUniqueName="[swot_analysis_dataset]" displayFolder="" count="2"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2" memberValueDatatype="130" unbalanced="0">
      <fieldsUsage count="2">
        <fieldUsage x="-1"/>
        <fieldUsage x="2"/>
      </fieldsUsage>
    </cacheHierarchy>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3"/>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1435186" backgroundQuery="1" createdVersion="7" refreshedVersion="7" minRefreshableVersion="3" recordCount="0" supportSubquery="1" supportAdvancedDrill="1" xr:uid="{C783C426-F7C8-4851-BB87-D4CD22A64D2A}">
  <cacheSource type="external" connectionId="3"/>
  <cacheFields count="3">
    <cacheField name="[swot_analysis_dataset].[primary_strength].[primary_strength]" caption="primary_strength" numFmtId="0" hierarchy="11" level="1">
      <sharedItems count="10">
        <s v="Brand Recognition"/>
        <s v="Brand Reputation"/>
        <s v="Capital Reserves"/>
        <s v="Diversified Portfolio"/>
        <s v="Market Leadership"/>
        <s v="Production Capacity"/>
        <s v="R&amp;D Capabilities"/>
        <s v="Regulatory Compliance"/>
        <s v="Store Network"/>
        <s v="Supply Chain"/>
      </sharedItems>
    </cacheField>
    <cacheField name="[Measures].[Count of company_id]" caption="Count of company_id" numFmtId="0" hierarchy="19" level="32767"/>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2" memberValueDatatype="130" unbalanced="0">
      <fieldsUsage count="2">
        <fieldUsage x="-1"/>
        <fieldUsage x="0"/>
      </fieldsUsage>
    </cacheHierarchy>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2"/>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2013887" backgroundQuery="1" createdVersion="7" refreshedVersion="7" minRefreshableVersion="3" recordCount="0" supportSubquery="1" supportAdvancedDrill="1" xr:uid="{0E0B8A1A-774B-4B83-A323-67BE37A2A93A}">
  <cacheSource type="external" connectionId="3"/>
  <cacheFields count="4">
    <cacheField name="[swot_analysis_dataset].[primary_strength].[primary_strength]" caption="primary_strength" numFmtId="0" hierarchy="11" level="1">
      <sharedItems count="23">
        <s v="Automation"/>
        <s v="Brand Recognition"/>
        <s v="Brand Reputation"/>
        <s v="Capital Reserves"/>
        <s v="Cost Efficiency"/>
        <s v="Customer Loyalty"/>
        <s v="Customer Trust"/>
        <s v="Digital Banking"/>
        <s v="Diversified Portfolio"/>
        <s v="E-commerce Platform"/>
        <s v="Innovation"/>
        <s v="IP Portfolio"/>
        <s v="Quality Control"/>
        <s v="Market Leadership"/>
        <s v="Medical Expertise"/>
        <s v="Patient Care"/>
        <s v="Production Capacity"/>
        <s v="R&amp;D Capabilities"/>
        <s v="Regulatory Compliance"/>
        <s v="Research Facilities"/>
        <s v="Skilled Workforce"/>
        <s v="Store Network"/>
        <s v="Supply Chain"/>
      </sharedItems>
    </cacheField>
    <cacheField name="[Measures].[Count of company_id]" caption="Count of company_id" numFmtId="0" hierarchy="19" level="32767"/>
    <cacheField name="[swot_analysis_dataset].[primary_threat].[primary_threat]" caption="primary_threat" numFmtId="0" hierarchy="14" level="1">
      <sharedItems count="10">
        <s v="Changing Consumer Trends"/>
        <s v="Competition from Fintech"/>
        <s v="Environmental Regulations"/>
        <s v="Intense Competition"/>
        <s v="Patent Issues"/>
        <s v="Raw Material Costs"/>
        <s v="Regulatory Changes"/>
        <s v="Supply Chain Disruptions"/>
        <s v="Tech Disruption"/>
        <s v="Trade Tariffs"/>
      </sharedItems>
    </cacheField>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2" memberValueDatatype="130" unbalanced="0">
      <fieldsUsage count="2">
        <fieldUsage x="-1"/>
        <fieldUsage x="0"/>
      </fieldsUsage>
    </cacheHierarchy>
    <cacheHierarchy uniqueName="[swot_analysis_dataset].[primary_weakness]" caption="primary_weakness" attribute="1" defaultMemberUniqueName="[swot_analysis_dataset].[primary_weakness].[All]" allUniqueName="[swot_analysis_dataset].[primary_weakness].[All]" dimensionUniqueName="[swot_analysis_dataset]" displayFolder="" count="2"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2" memberValueDatatype="130" unbalanced="0">
      <fieldsUsage count="2">
        <fieldUsage x="-1"/>
        <fieldUsage x="2"/>
      </fieldsUsage>
    </cacheHierarchy>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3"/>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236111" backgroundQuery="1" createdVersion="7" refreshedVersion="7" minRefreshableVersion="3" recordCount="0" supportSubquery="1" supportAdvancedDrill="1" xr:uid="{E6211F57-0668-4963-A10F-DDF028A942C7}">
  <cacheSource type="external" connectionId="3"/>
  <cacheFields count="4">
    <cacheField name="[swot_analysis_dataset].[primary_strength].[primary_strength]" caption="primary_strength" numFmtId="0" hierarchy="11" level="1">
      <sharedItems count="23">
        <s v="Automation"/>
        <s v="Brand Recognition"/>
        <s v="Brand Reputation"/>
        <s v="Capital Reserves"/>
        <s v="Cost Efficiency"/>
        <s v="Customer Loyalty"/>
        <s v="Customer Trust"/>
        <s v="Digital Banking"/>
        <s v="Diversified Portfolio"/>
        <s v="E-commerce Platform"/>
        <s v="Innovation"/>
        <s v="IP Portfolio"/>
        <s v="Quality Control"/>
        <s v="Market Leadership"/>
        <s v="Medical Expertise"/>
        <s v="Patient Care"/>
        <s v="Production Capacity"/>
        <s v="R&amp;D Capabilities"/>
        <s v="Regulatory Compliance"/>
        <s v="Research Facilities"/>
        <s v="Skilled Workforce"/>
        <s v="Store Network"/>
        <s v="Supply Chain"/>
      </sharedItems>
    </cacheField>
    <cacheField name="[Measures].[Count of company_id]" caption="Count of company_id" numFmtId="0" hierarchy="19" level="32767"/>
    <cacheField name="[swot_analysis_dataset].[primary_weakness].[primary_weakness]" caption="primary_weakness" numFmtId="0" hierarchy="12" level="1">
      <sharedItems count="10">
        <s v="Administrative Burden"/>
        <s v="Cybersecurity Risks"/>
        <s v="High Capital Requirements"/>
        <s v="Insurance Dependencies"/>
        <s v="Legacy Systems"/>
        <s v="Low Margins"/>
        <s v="Physical Store Costs"/>
        <s v="Regulatory Scrutiny"/>
        <s v="Supply Chain Dependencies"/>
        <s v="Talent Retention"/>
      </sharedItems>
    </cacheField>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2" memberValueDatatype="130" unbalanced="0">
      <fieldsUsage count="2">
        <fieldUsage x="-1"/>
        <fieldUsage x="0"/>
      </fieldsUsage>
    </cacheHierarchy>
    <cacheHierarchy uniqueName="[swot_analysis_dataset].[primary_weakness]" caption="primary_weakness" attribute="1" defaultMemberUniqueName="[swot_analysis_dataset].[primary_weakness].[All]" allUniqueName="[swot_analysis_dataset].[primary_weakness].[All]" dimensionUniqueName="[swot_analysis_dataset]" displayFolder="" count="2" memberValueDatatype="130" unbalanced="0">
      <fieldsUsage count="2">
        <fieldUsage x="-1"/>
        <fieldUsage x="2"/>
      </fieldsUsage>
    </cacheHierarchy>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3"/>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2708333" backgroundQuery="1" createdVersion="7" refreshedVersion="7" minRefreshableVersion="3" recordCount="0" supportSubquery="1" supportAdvancedDrill="1" xr:uid="{871E9A81-CA00-482A-AE10-F66D54011934}">
  <cacheSource type="external" connectionId="3"/>
  <cacheFields count="6">
    <cacheField name="[Measures].[Average of strength_score]" caption="Average of strength_score" numFmtId="0" hierarchy="30" level="32767"/>
    <cacheField name="[Measures].[Average of weakness_score]" caption="Average of weakness_score" numFmtId="0" hierarchy="31" level="32767"/>
    <cacheField name="[Measures].[Average of opportunity_score]" caption="Average of opportunity_score" numFmtId="0" hierarchy="32" level="32767"/>
    <cacheField name="[Measures].[Average of threat_score]" caption="Average of threat_score" numFmtId="0" hierarchy="33" level="32767"/>
    <cacheField name="[swot_analysis_dataset].[industry].[industry]" caption="industry" numFmtId="0" hierarchy="2" level="1">
      <sharedItems count="5">
        <s v="Finance"/>
        <s v="Healthcare"/>
        <s v="Manufacturing"/>
        <s v="Retail"/>
        <s v="Technology"/>
      </sharedItems>
    </cacheField>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fieldsUsage count="2">
        <fieldUsage x="-1"/>
        <fieldUsage x="4"/>
      </fieldsUsage>
    </cacheHierarchy>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5"/>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oneField="1" hidden="1">
      <fieldsUsage count="1">
        <fieldUsage x="3"/>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3171295" backgroundQuery="1" createdVersion="7" refreshedVersion="7" minRefreshableVersion="3" recordCount="0" supportSubquery="1" supportAdvancedDrill="1" xr:uid="{71C6B961-4AA8-4FD7-8146-9159379ACDF6}">
  <cacheSource type="external" connectionId="3"/>
  <cacheFields count="3">
    <cacheField name="[Measures].[Count of company_id]" caption="Count of company_id" numFmtId="0" hierarchy="19" level="32767"/>
    <cacheField name="[swot_analysis_dataset].[swot_rating].[swot_rating]" caption="swot_rating" numFmtId="0" hierarchy="16" level="1">
      <sharedItems count="4">
        <s v="Critical"/>
        <s v="Neutral"/>
        <s v="Positive"/>
        <s v="Strong"/>
      </sharedItems>
    </cacheField>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2"/>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fieldsUsage count="2">
        <fieldUsage x="-1"/>
        <fieldUsage x="1"/>
      </fieldsUsage>
    </cacheHierarchy>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3518518" backgroundQuery="1" createdVersion="7" refreshedVersion="7" minRefreshableVersion="3" recordCount="0" supportSubquery="1" supportAdvancedDrill="1" xr:uid="{0E0C93ED-E580-431C-94B9-92590BBA92A3}">
  <cacheSource type="external" connectionId="3"/>
  <cacheFields count="3">
    <cacheField name="[Measures].[Count of company_id]" caption="Count of company_id" numFmtId="0" hierarchy="19" level="32767"/>
    <cacheField name="[swot_analysis_dataset].[market_position].[market_position]" caption="market_position" numFmtId="0" hierarchy="15" level="1">
      <sharedItems count="4">
        <s v="Challenger"/>
        <s v="Follower"/>
        <s v="Leader"/>
        <s v="Niche"/>
      </sharedItems>
    </cacheField>
    <cacheField name="[swot_analysis_dataset].[swot_rating].[swot_rating]" caption="swot_rating" numFmtId="0" hierarchy="16" level="1">
      <sharedItems count="4">
        <s v="Critical"/>
        <s v="Neutral"/>
        <s v="Positive"/>
        <s v="Strong"/>
      </sharedItems>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1"/>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fieldsUsage count="2">
        <fieldUsage x="-1"/>
        <fieldUsage x="2"/>
      </fieldsUsage>
    </cacheHierarchy>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4097219" backgroundQuery="1" createdVersion="7" refreshedVersion="7" minRefreshableVersion="3" recordCount="0" supportSubquery="1" supportAdvancedDrill="1" xr:uid="{7BC9BB2A-85A2-4D8F-960A-C01BF706B91B}">
  <cacheSource type="external" connectionId="3"/>
  <cacheFields count="3">
    <cacheField name="[Measures].[Average of strength_score]" caption="Average of strength_score" numFmtId="0" hierarchy="30" level="32767"/>
    <cacheField name="[Measures].[Average of opportunity_score]" caption="Average of opportunity_score" numFmtId="0" hierarchy="32" level="32767"/>
    <cacheField name="[swot_analysis_dataset].[market_position].[market_position]" caption="market_position" numFmtId="0" hierarchy="15" level="1">
      <sharedItems containsSemiMixedTypes="0" containsNonDate="0" containsString="0"/>
    </cacheField>
  </cacheFields>
  <cacheHierarchies count="35">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2"/>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Count of primary_strength]" caption="Count of primary_strength" measure="1" displayFolder="" measureGroup="swot_analysis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4560188" backgroundQuery="1" createdVersion="7" refreshedVersion="7" minRefreshableVersion="3" recordCount="0" supportSubquery="1" supportAdvancedDrill="1" xr:uid="{0E4D6052-C9D3-4FB9-B6FD-8404876C9132}">
  <cacheSource type="external" connectionId="3"/>
  <cacheFields count="4">
    <cacheField name="[swot_analysis_dataset].[industry].[industry]" caption="industry" numFmtId="0" hierarchy="2" level="1">
      <sharedItems count="5">
        <s v="Finance"/>
        <s v="Healthcare"/>
        <s v="Manufacturing"/>
        <s v="Retail"/>
        <s v="Technology"/>
      </sharedItems>
    </cacheField>
    <cacheField name="[swot_analysis_dataset].[swot_rating].[swot_rating]" caption="swot_rating" numFmtId="0" hierarchy="16" level="1">
      <sharedItems count="4">
        <s v="Critical"/>
        <s v="Neutral"/>
        <s v="Positive"/>
        <s v="Strong"/>
      </sharedItems>
    </cacheField>
    <cacheField name="[Measures].[Count of company_id]" caption="Count of company_id" numFmtId="0" hierarchy="19" level="32767"/>
    <cacheField name="[swot_analysis_dataset].[market_position].[market_position]" caption="market_position" numFmtId="0" hierarchy="15" level="1">
      <sharedItems containsSemiMixedTypes="0" containsNonDate="0" containsString="0"/>
    </cacheField>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fieldsUsage count="2">
        <fieldUsage x="-1"/>
        <fieldUsage x="0"/>
      </fieldsUsage>
    </cacheHierarchy>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3"/>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fieldsUsage count="2">
        <fieldUsage x="-1"/>
        <fieldUsage x="1"/>
      </fieldsUsage>
    </cacheHierarchy>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5138888" backgroundQuery="1" createdVersion="7" refreshedVersion="7" minRefreshableVersion="3" recordCount="0" supportSubquery="1" supportAdvancedDrill="1" xr:uid="{8AE43E1B-BCA5-4941-9BEA-F6D69544D76C}">
  <cacheSource type="external" connectionId="3"/>
  <cacheFields count="3">
    <cacheField name="[swot_analysis_dataset].[swot_rating].[swot_rating]" caption="swot_rating" numFmtId="0" hierarchy="16" level="1">
      <sharedItems count="4">
        <s v="Critical"/>
        <s v="Neutral"/>
        <s v="Positive"/>
        <s v="Strong"/>
      </sharedItems>
    </cacheField>
    <cacheField name="[Measures].[Count of company_id]" caption="Count of company_id" numFmtId="0" hierarchy="19" level="32767"/>
    <cacheField name="[swot_analysis_dataset].[market_position].[market_position]" caption="market_position" numFmtId="0" hierarchy="15" level="1">
      <sharedItems containsSemiMixedTypes="0" containsNonDate="0" containsString="0"/>
    </cacheField>
  </cacheFields>
  <cacheHierarchies count="35">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2"/>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fieldsUsage count="2">
        <fieldUsage x="-1"/>
        <fieldUsage x="0"/>
      </fieldsUsage>
    </cacheHierarchy>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Count of primary_strength]" caption="Count of primary_strength" measure="1" displayFolder="" measureGroup="swot_analysis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560185" backgroundQuery="1" createdVersion="7" refreshedVersion="7" minRefreshableVersion="3" recordCount="0" supportSubquery="1" supportAdvancedDrill="1" xr:uid="{9D5501B3-002E-407F-AA68-0ACFCF7F9FDA}">
  <cacheSource type="external" connectionId="3"/>
  <cacheFields count="4">
    <cacheField name="[swot_analysis_dataset].[industry].[industry]" caption="industry" numFmtId="0" hierarchy="2" level="1">
      <sharedItems count="5">
        <s v="Finance"/>
        <s v="Healthcare"/>
        <s v="Manufacturing"/>
        <s v="Retail"/>
        <s v="Technology"/>
      </sharedItems>
    </cacheField>
    <cacheField name="[Measures].[Average of opportunity_score]" caption="Average of opportunity_score" numFmtId="0" hierarchy="32" level="32767"/>
    <cacheField name="[Measures].[Average of strength_score]" caption="Average of strength_score" numFmtId="0" hierarchy="30" level="32767"/>
    <cacheField name="[swot_analysis_dataset].[market_position].[market_position]" caption="market_position" numFmtId="0" hierarchy="15" level="1">
      <sharedItems containsSemiMixedTypes="0" containsNonDate="0" containsString="0"/>
    </cacheField>
  </cacheFields>
  <cacheHierarchies count="35">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fieldsUsage count="2">
        <fieldUsage x="-1"/>
        <fieldUsage x="0"/>
      </fieldsUsage>
    </cacheHierarchy>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3"/>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Count of primary_strength]" caption="Count of primary_strength" measure="1" displayFolder="" measureGroup="swot_analysis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6180558" backgroundQuery="1" createdVersion="7" refreshedVersion="7" minRefreshableVersion="3" recordCount="0" supportSubquery="1" supportAdvancedDrill="1" xr:uid="{53A92106-87C6-4585-A5BF-94A65C8EA85B}">
  <cacheSource type="external" connectionId="3"/>
  <cacheFields count="4">
    <cacheField name="[swot_analysis_dataset].[industry].[industry]" caption="industry" numFmtId="0" hierarchy="2" level="1">
      <sharedItems count="5">
        <s v="Finance"/>
        <s v="Healthcare"/>
        <s v="Manufacturing"/>
        <s v="Retail"/>
        <s v="Technology"/>
      </sharedItems>
    </cacheField>
    <cacheField name="[Measures].[Average of threat_score]" caption="Average of threat_score" numFmtId="0" hierarchy="33" level="32767"/>
    <cacheField name="[Measures].[Average of weakness_score]" caption="Average of weakness_score" numFmtId="0" hierarchy="31" level="32767"/>
    <cacheField name="[swot_analysis_dataset].[market_position].[market_position]" caption="market_position" numFmtId="0" hierarchy="15" level="1">
      <sharedItems containsSemiMixedTypes="0" containsNonDate="0" containsString="0"/>
    </cacheField>
  </cacheFields>
  <cacheHierarchies count="35">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fieldsUsage count="2">
        <fieldUsage x="-1"/>
        <fieldUsage x="0"/>
      </fieldsUsage>
    </cacheHierarchy>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2"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2"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3"/>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rimary_strength]" caption="Count of primary_strength" measure="1" displayFolder="" measureGroup="swot_analysis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56.851546759259" backgroundQuery="1" createdVersion="7" refreshedVersion="7" minRefreshableVersion="3" recordCount="0" supportSubquery="1" supportAdvancedDrill="1" xr:uid="{6BA6F761-D035-41A8-B81F-FAAB15347DBE}">
  <cacheSource type="external" connectionId="3"/>
  <cacheFields count="6">
    <cacheField name="[swot_analysis_dataset].[industry].[industry]" caption="industry" numFmtId="0" hierarchy="2" level="1">
      <sharedItems count="5">
        <s v="Finance"/>
        <s v="Healthcare"/>
        <s v="Manufacturing"/>
        <s v="Retail"/>
        <s v="Technology"/>
      </sharedItems>
    </cacheField>
    <cacheField name="[Measures].[Average of strength_score]" caption="Average of strength_score" numFmtId="0" hierarchy="30" level="32767"/>
    <cacheField name="[Measures].[Average of weakness_score]" caption="Average of weakness_score" numFmtId="0" hierarchy="31" level="32767"/>
    <cacheField name="[Measures].[Average of opportunity_score]" caption="Average of opportunity_score" numFmtId="0" hierarchy="32" level="32767"/>
    <cacheField name="[Measures].[Average of threat_score]" caption="Average of threat_score" numFmtId="0" hierarchy="33" level="32767"/>
    <cacheField name="[swot_analysis_dataset].[market_position].[market_position]" caption="market_position" numFmtId="0" hierarchy="15" level="1">
      <sharedItems containsSemiMixedTypes="0" containsNonDate="0" containsString="0"/>
    </cacheField>
  </cacheFields>
  <cacheHierarchies count="35">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fieldsUsage count="2">
        <fieldUsage x="-1"/>
        <fieldUsage x="0"/>
      </fieldsUsage>
    </cacheHierarchy>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2"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2"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fieldsUsage count="2">
        <fieldUsage x="-1"/>
        <fieldUsage x="5"/>
      </fieldsUsage>
    </cacheHierarchy>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primary_strength]" caption="Count of primary_strength" measure="1" displayFolder="" measureGroup="swot_analysis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65.939567824076" backgroundQuery="1" createdVersion="7" refreshedVersion="7" minRefreshableVersion="3" recordCount="0" supportSubquery="1" supportAdvancedDrill="1" xr:uid="{4CB62C03-13F3-4B6D-B345-A962CF271A15}">
  <cacheSource type="external" connectionId="3"/>
  <cacheFields count="3">
    <cacheField name="[swot_analysis_dataset].[industry].[industry]" caption="industry" numFmtId="0" hierarchy="2" level="1">
      <sharedItems count="5">
        <s v="Finance"/>
        <s v="Healthcare"/>
        <s v="Manufacturing"/>
        <s v="Retail"/>
        <s v="Technology"/>
      </sharedItems>
    </cacheField>
    <cacheField name="[Measures].[Average of revenue_millions]" caption="Average of revenue_millions" numFmtId="0" hierarchy="21" level="32767"/>
    <cacheField name="[Measures].[Average of profitability_margin]" caption="Average of profitability_margin" numFmtId="0" hierarchy="23" level="32767"/>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fieldsUsage count="2">
        <fieldUsage x="-1"/>
        <fieldUsage x="0"/>
      </fieldsUsage>
    </cacheHierarchy>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66.007205671296" backgroundQuery="1" createdVersion="7" refreshedVersion="7" minRefreshableVersion="3" recordCount="0" supportSubquery="1" supportAdvancedDrill="1" xr:uid="{6CD3E494-1547-4D7F-A60C-1350F937E5E8}">
  <cacheSource type="external" connectionId="3"/>
  <cacheFields count="2">
    <cacheField name="[swot_analysis_dataset].[industry].[industry]" caption="industry" numFmtId="0" hierarchy="2" level="1">
      <sharedItems count="5">
        <s v="Finance"/>
        <s v="Healthcare"/>
        <s v="Manufacturing"/>
        <s v="Retail"/>
        <s v="Technology"/>
      </sharedItems>
    </cacheField>
    <cacheField name="[Measures].[Average of profitability_margin]" caption="Average of profitability_margin" numFmtId="0" hierarchy="23" level="32767"/>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fieldsUsage count="2">
        <fieldUsage x="-1"/>
        <fieldUsage x="0"/>
      </fieldsUsage>
    </cacheHierarchy>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a8" refreshedDate="46166.007261342595" backgroundQuery="1" createdVersion="7" refreshedVersion="7" minRefreshableVersion="3" recordCount="0" supportSubquery="1" supportAdvancedDrill="1" xr:uid="{64FD8D15-53A3-4F7D-811E-16169430959A}">
  <cacheSource type="external" connectionId="3"/>
  <cacheFields count="2">
    <cacheField name="[swot_analysis_dataset].[industry].[industry]" caption="industry" numFmtId="0" hierarchy="2" level="1">
      <sharedItems count="5">
        <s v="Finance"/>
        <s v="Healthcare"/>
        <s v="Manufacturing"/>
        <s v="Retail"/>
        <s v="Technology"/>
      </sharedItems>
    </cacheField>
    <cacheField name="[Measures].[Average of revenue_millions]" caption="Average of revenue_millions" numFmtId="0" hierarchy="21" level="32767"/>
  </cacheFields>
  <cacheHierarchies count="34">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fieldsUsage count="2">
        <fieldUsage x="-1"/>
        <fieldUsage x="0"/>
      </fieldsUsage>
    </cacheHierarchy>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y uniqueName="[Measures].[Sum of employee_count]" caption="Sum of employee_count" measure="1" displayFolder="" measureGroup="swot_analysis_dataset" count="0" hidden="1">
      <extLst>
        <ext xmlns:x15="http://schemas.microsoft.com/office/spreadsheetml/2010/11/main" uri="{B97F6D7D-B522-45F9-BDA1-12C45D357490}">
          <x15:cacheHierarchy aggregatedColumn="4"/>
        </ext>
      </extLst>
    </cacheHierarchy>
    <cacheHierarchy uniqueName="[Measures].[Sum of strength_score]" caption="Sum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Sum of weakness_score]" caption="Sum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Sum of opportunity_score]" caption="Sum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Sum of threat_score]" caption="Sum of threat_score" measure="1" displayFolder="" measureGroup="swot_analysis_dataset" count="0" hidden="1">
      <extLst>
        <ext xmlns:x15="http://schemas.microsoft.com/office/spreadsheetml/2010/11/main" uri="{B97F6D7D-B522-45F9-BDA1-12C45D357490}">
          <x15:cacheHierarchy aggregatedColumn="10"/>
        </ext>
      </extLst>
    </cacheHierarchy>
    <cacheHierarchy uniqueName="[Measures].[Average of strength_score]" caption="Average of strength_score" measure="1" displayFolder="" measureGroup="swot_analysis_dataset" count="0" hidden="1">
      <extLst>
        <ext xmlns:x15="http://schemas.microsoft.com/office/spreadsheetml/2010/11/main" uri="{B97F6D7D-B522-45F9-BDA1-12C45D357490}">
          <x15:cacheHierarchy aggregatedColumn="7"/>
        </ext>
      </extLst>
    </cacheHierarchy>
    <cacheHierarchy uniqueName="[Measures].[Average of weakness_score]" caption="Average of weakness_score" measure="1" displayFolder="" measureGroup="swot_analysis_dataset" count="0" hidden="1">
      <extLst>
        <ext xmlns:x15="http://schemas.microsoft.com/office/spreadsheetml/2010/11/main" uri="{B97F6D7D-B522-45F9-BDA1-12C45D357490}">
          <x15:cacheHierarchy aggregatedColumn="8"/>
        </ext>
      </extLst>
    </cacheHierarchy>
    <cacheHierarchy uniqueName="[Measures].[Average of opportunity_score]" caption="Average of opportunity_score" measure="1" displayFolder="" measureGroup="swot_analysis_dataset" count="0" hidden="1">
      <extLst>
        <ext xmlns:x15="http://schemas.microsoft.com/office/spreadsheetml/2010/11/main" uri="{B97F6D7D-B522-45F9-BDA1-12C45D357490}">
          <x15:cacheHierarchy aggregatedColumn="9"/>
        </ext>
      </extLst>
    </cacheHierarchy>
    <cacheHierarchy uniqueName="[Measures].[Average of threat_score]" caption="Average of threat_score" measure="1" displayFolder="" measureGroup="swot_analysis_datase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wot_analysis_dataset" uniqueName="[swot_analysis_dataset]" caption="swot_analysis_dataset"/>
  </dimensions>
  <measureGroups count="1">
    <measureGroup name="swot_analysis_dataset" caption="swot_analysi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OW" refreshedDate="46149.637518055555" backgroundQuery="1" createdVersion="3" refreshedVersion="7" minRefreshableVersion="3" recordCount="0" supportSubquery="1" supportAdvancedDrill="1" xr:uid="{330E379E-0CD7-42CE-8B35-776188265590}">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swot_analysis_dataset].[company_id]" caption="company_id" attribute="1" defaultMemberUniqueName="[swot_analysis_dataset].[company_id].[All]" allUniqueName="[swot_analysis_dataset].[company_id].[All]" dimensionUniqueName="[swot_analysis_dataset]" displayFolder="" count="0" memberValueDatatype="130" unbalanced="0"/>
    <cacheHierarchy uniqueName="[swot_analysis_dataset].[Merged]" caption="Merged" attribute="1" defaultMemberUniqueName="[swot_analysis_dataset].[Merged].[All]" allUniqueName="[swot_analysis_dataset].[Merged].[All]" dimensionUniqueName="[swot_analysis_dataset]" displayFolder="" count="0" memberValueDatatype="130" unbalanced="0"/>
    <cacheHierarchy uniqueName="[swot_analysis_dataset].[industry]" caption="industry" attribute="1" defaultMemberUniqueName="[swot_analysis_dataset].[industry].[All]" allUniqueName="[swot_analysis_dataset].[industry].[All]" dimensionUniqueName="[swot_analysis_dataset]" displayFolder="" count="2" memberValueDatatype="130" unbalanced="0"/>
    <cacheHierarchy uniqueName="[swot_analysis_dataset].[founded_year]" caption="founded_year" attribute="1" defaultMemberUniqueName="[swot_analysis_dataset].[founded_year].[All]" allUniqueName="[swot_analysis_dataset].[founded_year].[All]" dimensionUniqueName="[swot_analysis_dataset]" displayFolder="" count="0" memberValueDatatype="20" unbalanced="0"/>
    <cacheHierarchy uniqueName="[swot_analysis_dataset].[employee_count]" caption="employee_count" attribute="1" defaultMemberUniqueName="[swot_analysis_dataset].[employee_count].[All]" allUniqueName="[swot_analysis_dataset].[employee_count].[All]" dimensionUniqueName="[swot_analysis_dataset]" displayFolder="" count="0" memberValueDatatype="20" unbalanced="0"/>
    <cacheHierarchy uniqueName="[swot_analysis_dataset].[revenue_millions]" caption="revenue_millions" attribute="1" defaultMemberUniqueName="[swot_analysis_dataset].[revenue_millions].[All]" allUniqueName="[swot_analysis_dataset].[revenue_millions].[All]" dimensionUniqueName="[swot_analysis_dataset]" displayFolder="" count="0" memberValueDatatype="5" unbalanced="0"/>
    <cacheHierarchy uniqueName="[swot_analysis_dataset].[profitability_margin]" caption="profitability_margin" attribute="1" defaultMemberUniqueName="[swot_analysis_dataset].[profitability_margin].[All]" allUniqueName="[swot_analysis_dataset].[profitability_margin].[All]" dimensionUniqueName="[swot_analysis_dataset]" displayFolder="" count="0" memberValueDatatype="5" unbalanced="0"/>
    <cacheHierarchy uniqueName="[swot_analysis_dataset].[strength_score]" caption="strength_score" attribute="1" defaultMemberUniqueName="[swot_analysis_dataset].[strength_score].[All]" allUniqueName="[swot_analysis_dataset].[strength_score].[All]" dimensionUniqueName="[swot_analysis_dataset]" displayFolder="" count="0" memberValueDatatype="20" unbalanced="0"/>
    <cacheHierarchy uniqueName="[swot_analysis_dataset].[weakness_score]" caption="weakness_score" attribute="1" defaultMemberUniqueName="[swot_analysis_dataset].[weakness_score].[All]" allUniqueName="[swot_analysis_dataset].[weakness_score].[All]" dimensionUniqueName="[swot_analysis_dataset]" displayFolder="" count="0" memberValueDatatype="20" unbalanced="0"/>
    <cacheHierarchy uniqueName="[swot_analysis_dataset].[opportunity_score]" caption="opportunity_score" attribute="1" defaultMemberUniqueName="[swot_analysis_dataset].[opportunity_score].[All]" allUniqueName="[swot_analysis_dataset].[opportunity_score].[All]" dimensionUniqueName="[swot_analysis_dataset]" displayFolder="" count="0" memberValueDatatype="20" unbalanced="0"/>
    <cacheHierarchy uniqueName="[swot_analysis_dataset].[threat_score]" caption="threat_score" attribute="1" defaultMemberUniqueName="[swot_analysis_dataset].[threat_score].[All]" allUniqueName="[swot_analysis_dataset].[threat_score].[All]" dimensionUniqueName="[swot_analysis_dataset]" displayFolder="" count="0" memberValueDatatype="20" unbalanced="0"/>
    <cacheHierarchy uniqueName="[swot_analysis_dataset].[primary_strength]" caption="primary_strength" attribute="1" defaultMemberUniqueName="[swot_analysis_dataset].[primary_strength].[All]" allUniqueName="[swot_analysis_dataset].[primary_strength].[All]" dimensionUniqueName="[swot_analysis_dataset]" displayFolder="" count="0" memberValueDatatype="130" unbalanced="0"/>
    <cacheHierarchy uniqueName="[swot_analysis_dataset].[primary_weakness]" caption="primary_weakness" attribute="1" defaultMemberUniqueName="[swot_analysis_dataset].[primary_weakness].[All]" allUniqueName="[swot_analysis_dataset].[primary_weakness].[All]" dimensionUniqueName="[swot_analysis_dataset]" displayFolder="" count="0" memberValueDatatype="130" unbalanced="0"/>
    <cacheHierarchy uniqueName="[swot_analysis_dataset].[primary_opportunity]" caption="primary_opportunity" attribute="1" defaultMemberUniqueName="[swot_analysis_dataset].[primary_opportunity].[All]" allUniqueName="[swot_analysis_dataset].[primary_opportunity].[All]" dimensionUniqueName="[swot_analysis_dataset]" displayFolder="" count="0" memberValueDatatype="130" unbalanced="0"/>
    <cacheHierarchy uniqueName="[swot_analysis_dataset].[primary_threat]" caption="primary_threat" attribute="1" defaultMemberUniqueName="[swot_analysis_dataset].[primary_threat].[All]" allUniqueName="[swot_analysis_dataset].[primary_threat].[All]" dimensionUniqueName="[swot_analysis_dataset]" displayFolder="" count="0" memberValueDatatype="130" unbalanced="0"/>
    <cacheHierarchy uniqueName="[swot_analysis_dataset].[market_position]" caption="market_position" attribute="1" defaultMemberUniqueName="[swot_analysis_dataset].[market_position].[All]" allUniqueName="[swot_analysis_dataset].[market_position].[All]" dimensionUniqueName="[swot_analysis_dataset]" displayFolder="" count="2" memberValueDatatype="130" unbalanced="0"/>
    <cacheHierarchy uniqueName="[swot_analysis_dataset].[swot_rating]" caption="swot_rating" attribute="1" defaultMemberUniqueName="[swot_analysis_dataset].[swot_rating].[All]" allUniqueName="[swot_analysis_dataset].[swot_rating].[All]" dimensionUniqueName="[swot_analysis_dataset]" displayFolder="" count="2" memberValueDatatype="130" unbalanced="0"/>
    <cacheHierarchy uniqueName="[Measures].[__XL_Count swot_analysis_dataset]" caption="__XL_Count swot_analysis_dataset" measure="1" displayFolder="" measureGroup="swot_analysis_dataset" count="0" hidden="1"/>
    <cacheHierarchy uniqueName="[Measures].[__No measures defined]" caption="__No measures defined" measure="1" displayFolder="" count="0" hidden="1"/>
    <cacheHierarchy uniqueName="[Measures].[Count of company_id]" caption="Count of company_id" measure="1" displayFolder="" measureGroup="swot_analysis_dataset" count="0" hidden="1">
      <extLst>
        <ext xmlns:x15="http://schemas.microsoft.com/office/spreadsheetml/2010/11/main" uri="{B97F6D7D-B522-45F9-BDA1-12C45D357490}">
          <x15:cacheHierarchy aggregatedColumn="0"/>
        </ext>
      </extLst>
    </cacheHierarchy>
    <cacheHierarchy uniqueName="[Measures].[Sum of revenue_millions]" caption="Sum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Average of revenue_millions]" caption="Average of revenue_millions" measure="1" displayFolder="" measureGroup="swot_analysis_dataset" count="0" hidden="1">
      <extLst>
        <ext xmlns:x15="http://schemas.microsoft.com/office/spreadsheetml/2010/11/main" uri="{B97F6D7D-B522-45F9-BDA1-12C45D357490}">
          <x15:cacheHierarchy aggregatedColumn="5"/>
        </ext>
      </extLst>
    </cacheHierarchy>
    <cacheHierarchy uniqueName="[Measures].[Sum of profitability_margin]" caption="Sum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Average of profitability_margin]" caption="Average of profitability_margin" measure="1" displayFolder="" measureGroup="swot_analysis_dataset" count="0" hidden="1">
      <extLst>
        <ext xmlns:x15="http://schemas.microsoft.com/office/spreadsheetml/2010/11/main" uri="{B97F6D7D-B522-45F9-BDA1-12C45D357490}">
          <x15:cacheHierarchy aggregatedColumn="6"/>
        </ext>
      </extLst>
    </cacheHierarchy>
    <cacheHierarchy uniqueName="[Measures].[Count of swot_rating]" caption="Count of swot_rating" measure="1" displayFolder="" measureGroup="swot_analysis_dataset"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61223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8B3909-8054-42D7-A696-B24421D73B5F}" name="ED SWOT RATING"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E88:BF93" firstHeaderRow="1" firstDataRow="1" firstDataCol="1"/>
  <pivotFields count="3">
    <pivotField axis="axisRow" allDrilled="1" subtotalTop="0" showAll="0" sortType="descending" defaultSubtotal="0" defaultAttributeDrillState="1">
      <items count="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ompany_i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1C072-829A-4F92-8F2F-72EB9920E16D}" name="ED REVENUE"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E75:BE7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_millions" fld="0" subtotal="average"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revenue_millions"/>
    <pivotHierarchy dragToData="1"/>
    <pivotHierarchy dragToData="1" caption="Average of profitability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83CD1F-95A3-4341-8085-56A08CA7A090}" name="ED AVG BY INDUSTRY" cacheId="2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E79:BG85"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v="3"/>
    </i>
    <i>
      <x/>
    </i>
    <i>
      <x v="1"/>
    </i>
    <i>
      <x v="2"/>
    </i>
    <i>
      <x v="4"/>
    </i>
    <i t="grand">
      <x/>
    </i>
  </rowItems>
  <colFields count="1">
    <field x="-2"/>
  </colFields>
  <colItems count="2">
    <i>
      <x/>
    </i>
    <i i="1">
      <x v="1"/>
    </i>
  </colItems>
  <dataFields count="2">
    <dataField name="AVG of Revenue Millions" fld="1" subtotal="average" baseField="0" baseItem="0"/>
    <dataField name="AVG of Profitability Margin" fld="2" subtotal="average" baseField="0" baseItem="0"/>
  </dataFields>
  <formats count="1">
    <format dxfId="19">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revenue_millions"/>
    <pivotHierarchy dragToData="1"/>
    <pivotHierarchy dragToData="1" caption="Average of profitability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390AEE-A912-4C59-975D-2326FD6A671E}" name="ED PROFIT"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E73:BE7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ofitability_margin" fld="0" subtotal="average"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revenue_millions"/>
    <pivotHierarchy dragToData="1"/>
    <pivotHierarchy dragToData="1" caption="Average of profitability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442629-F3DC-4763-A11B-E3353033749C}" name=" ED COMPNY"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E71:BE7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ompany_id" fld="0" subtotal="count"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revenue_millions"/>
    <pivotHierarchy dragToData="1"/>
    <pivotHierarchy dragToData="1" caption="Average of profitability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9D010C-7C6F-4993-AA46-4BAB44888AA3}" name="ED POSITION MARKET"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location ref="BE98:BF103" firstHeaderRow="1" firstDataRow="1" firstDataCol="1"/>
  <pivotFields count="2">
    <pivotField dataField="1" subtotalTop="0" showAll="0" defaultSubtotal="0"/>
    <pivotField axis="axisRow" allDrilled="1" subtotalTop="0" showAll="0" sortType="descending" defaultSubtotal="0" defaultAttributeDrillState="1">
      <items count="4">
        <item x="3"/>
        <item x="2"/>
        <item x="1"/>
        <item x="0"/>
      </items>
    </pivotField>
  </pivotFields>
  <rowFields count="1">
    <field x="1"/>
  </rowFields>
  <rowItems count="5">
    <i>
      <x/>
    </i>
    <i>
      <x v="1"/>
    </i>
    <i>
      <x v="2"/>
    </i>
    <i>
      <x v="3"/>
    </i>
    <i t="grand">
      <x/>
    </i>
  </rowItems>
  <colItems count="1">
    <i/>
  </colItems>
  <dataFields count="1">
    <dataField name="Count of company_id" fld="0" subtotal="count"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3"/>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6CBF26-B0DE-4B08-8300-FD50AA476014}" name="ED AVG BY INDUSTRY" cacheId="2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BE79:BF85"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v="1"/>
    </i>
    <i>
      <x v="2"/>
    </i>
    <i>
      <x/>
    </i>
    <i t="grand">
      <x/>
    </i>
  </rowItems>
  <colItems count="1">
    <i/>
  </colItems>
  <dataFields count="1">
    <dataField name="Average of profitability_margin" fld="1" subtotal="average" baseField="0" baseItem="0"/>
  </dataFields>
  <formats count="2">
    <format dxfId="16">
      <pivotArea collapsedLevelsAreSubtotals="1" fieldPosition="0">
        <references count="1">
          <reference field="0" count="0"/>
        </references>
      </pivotArea>
    </format>
    <format dxfId="15">
      <pivotArea grandRow="1"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revenue_millions"/>
    <pivotHierarchy dragToData="1"/>
    <pivotHierarchy dragToData="1" caption="Average of profitability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9336B6-D453-486B-9960-E930E20C5549}" name="ED SWOT RATING"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location ref="BE88:BF93" firstHeaderRow="1" firstDataRow="1" firstDataCol="1"/>
  <pivotFields count="2">
    <pivotField axis="axisRow" allDrilled="1" subtotalTop="0" showAll="0" sortType="descending" defaultSubtotal="0" defaultAttributeDrillState="1">
      <items count="4">
        <item x="3"/>
        <item x="2"/>
        <item x="1"/>
        <item x="0"/>
      </items>
    </pivotField>
    <pivotField dataField="1" subtotalTop="0" showAll="0" defaultSubtotal="0"/>
  </pivotFields>
  <rowFields count="1">
    <field x="0"/>
  </rowFields>
  <rowItems count="5">
    <i>
      <x/>
    </i>
    <i>
      <x v="1"/>
    </i>
    <i>
      <x v="2"/>
    </i>
    <i>
      <x v="3"/>
    </i>
    <i t="grand">
      <x/>
    </i>
  </rowItems>
  <colItems count="1">
    <i/>
  </colItems>
  <dataFields count="1">
    <dataField name="Count of company_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0" count="1" selected="0">
            <x v="0"/>
          </reference>
        </references>
      </pivotArea>
    </chartFormat>
    <chartFormat chart="1" format="7">
      <pivotArea type="data" outline="0" fieldPosition="0">
        <references count="2">
          <reference field="4294967294" count="1" selected="0">
            <x v="0"/>
          </reference>
          <reference field="0" count="1" selected="0">
            <x v="1"/>
          </reference>
        </references>
      </pivotArea>
    </chartFormat>
    <chartFormat chart="1" format="8">
      <pivotArea type="data" outline="0" fieldPosition="0">
        <references count="2">
          <reference field="4294967294" count="1" selected="0">
            <x v="0"/>
          </reference>
          <reference field="0" count="1" selected="0">
            <x v="2"/>
          </reference>
        </references>
      </pivotArea>
    </chartFormat>
    <chartFormat chart="1" format="9">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A5799B-F3E6-407D-8F6F-8D3AC0D2F678}" name="ED POSITION MARKET"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BE98:BF103" firstHeaderRow="1" firstDataRow="1" firstDataCol="1"/>
  <pivotFields count="2">
    <pivotField dataField="1" subtotalTop="0" showAll="0" defaultSubtotal="0"/>
    <pivotField axis="axisRow" allDrilled="1" subtotalTop="0" showAll="0" sortType="descending" defaultSubtotal="0" defaultAttributeDrillState="1">
      <items count="4">
        <item x="3"/>
        <item x="2"/>
        <item x="1"/>
        <item x="0"/>
      </items>
    </pivotField>
  </pivotFields>
  <rowFields count="1">
    <field x="1"/>
  </rowFields>
  <rowItems count="5">
    <i>
      <x/>
    </i>
    <i>
      <x v="1"/>
    </i>
    <i>
      <x v="2"/>
    </i>
    <i>
      <x v="3"/>
    </i>
    <i t="grand">
      <x/>
    </i>
  </rowItems>
  <colItems count="1">
    <i/>
  </colItems>
  <dataFields count="1">
    <dataField name="Count of company_id" fld="0"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3"/>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13186-5AB3-44A6-81A8-1977F411847D}" name=" ED COMPNY"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E71:BE72" firstHeaderRow="1" firstDataRow="1" firstDataCol="0"/>
  <pivotFields count="1">
    <pivotField dataField="1" subtotalTop="0" showAll="0" defaultSubtotal="0"/>
  </pivotFields>
  <rowItems count="1">
    <i/>
  </rowItems>
  <colItems count="1">
    <i/>
  </colItems>
  <dataFields count="1">
    <dataField name="Count of company_id" fld="0" subtotal="count"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revenue_millions"/>
    <pivotHierarchy dragToData="1"/>
    <pivotHierarchy dragToData="1" caption="Average of profitability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AEF39A-2674-4E2C-9C9F-07384E6FF40C}" name="ED PROFIT"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E73:BE74" firstHeaderRow="1" firstDataRow="1" firstDataCol="0"/>
  <pivotFields count="1">
    <pivotField dataField="1" subtotalTop="0" showAll="0" defaultSubtotal="0"/>
  </pivotFields>
  <rowItems count="1">
    <i/>
  </rowItems>
  <colItems count="1">
    <i/>
  </colItems>
  <dataFields count="1">
    <dataField name="Average of profitability_margin" fld="0" subtotal="average"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revenue_millions"/>
    <pivotHierarchy dragToData="1"/>
    <pivotHierarchy dragToData="1" caption="Average of profitability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BD41C3-BBCE-48EE-9215-DAA7CABFDFB1}" name="PivotTable1" cacheId="2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BE105:BF111"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i>
    <i>
      <x v="1"/>
    </i>
    <i>
      <x v="2"/>
    </i>
    <i>
      <x v="4"/>
    </i>
    <i t="grand">
      <x/>
    </i>
  </rowItems>
  <colItems count="1">
    <i/>
  </colItems>
  <dataFields count="1">
    <dataField name="Average of revenue_millions" fld="1" subtotal="average" baseField="0" baseItem="0"/>
  </dataFields>
  <formats count="2">
    <format dxfId="18">
      <pivotArea collapsedLevelsAreSubtotals="1" fieldPosition="0">
        <references count="1">
          <reference field="0" count="0"/>
        </references>
      </pivotArea>
    </format>
    <format dxfId="17">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revenue_millions"/>
    <pivotHierarchy dragToData="1"/>
    <pivotHierarchy dragToData="1" caption="Average of profitability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820CFEF-8AFE-409D-B09A-DF6A8CBDE536}" name="ED REVENUE"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E75:BE76" firstHeaderRow="1" firstDataRow="1" firstDataCol="0"/>
  <pivotFields count="1">
    <pivotField dataField="1" subtotalTop="0" showAll="0" defaultSubtotal="0"/>
  </pivotFields>
  <rowItems count="1">
    <i/>
  </rowItems>
  <colItems count="1">
    <i/>
  </colItems>
  <dataFields count="1">
    <dataField name="Average of revenue_millions" fld="0" subtotal="average"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revenue_millions"/>
    <pivotHierarchy dragToData="1"/>
    <pivotHierarchy dragToData="1" caption="Average of profitability_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16C4D2-2BC3-4A7E-9B67-2FE8CA1D6FC0}" name="SWOT  primary opportunity"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BF97:BG108" firstHeaderRow="1" firstDataRow="1" firstDataCol="1"/>
  <pivotFields count="4">
    <pivotField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i>
    <i>
      <x v="9"/>
    </i>
    <i>
      <x v="6"/>
    </i>
    <i>
      <x v="3"/>
    </i>
    <i>
      <x v="8"/>
    </i>
    <i>
      <x v="7"/>
    </i>
    <i>
      <x v="2"/>
    </i>
    <i>
      <x v="4"/>
    </i>
    <i>
      <x v="1"/>
    </i>
    <i>
      <x v="5"/>
    </i>
    <i t="grand">
      <x/>
    </i>
  </rowItems>
  <colItems count="1">
    <i/>
  </colItems>
  <dataFields count="1">
    <dataField name="Count of company_id" fld="1" subtotal="count" baseField="0" baseItem="0"/>
  </dataFields>
  <formats count="1">
    <format dxfId="5">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rength"/>
    <pivotHierarchy dragToData="1" caption="Weakness"/>
    <pivotHierarchy dragToData="1" caption="Opportunity"/>
    <pivotHierarchy dragToData="1" caption="Threat"/>
  </pivotHierarchies>
  <pivotTableStyleInfo name="PivotStyleLight16" showRowHeaders="1" showColHeaders="1" showRowStripes="0" showColStripes="0" showLastColumn="1"/>
  <filters count="1">
    <filter fld="2" type="count" id="1" iMeasureHier="19">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0A8DDC9-2C91-4CDA-89CC-F0D360CAE693}" name="SWOT " cacheId="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location ref="AZ88:BE95"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5">
    <i>
      <x v="3"/>
    </i>
    <i>
      <x v="2"/>
    </i>
    <i>
      <x v="1"/>
    </i>
    <i>
      <x/>
    </i>
    <i t="grand">
      <x/>
    </i>
  </colItems>
  <dataFields count="1">
    <dataField name="Count of company_id" fld="2" subtotal="count" baseField="0" baseItem="0"/>
  </dataFields>
  <formats count="2">
    <format dxfId="7">
      <pivotArea collapsedLevelsAreSubtotals="1" fieldPosition="0">
        <references count="1">
          <reference field="0" count="0"/>
        </references>
      </pivotArea>
    </format>
    <format dxfId="6">
      <pivotArea grandRow="1" outline="0" collapsedLevelsAreSubtotals="1" fieldPosition="0"/>
    </format>
  </format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rength"/>
    <pivotHierarchy dragToData="1" caption="Weakness"/>
    <pivotHierarchy dragToData="1" caption="Opportunity"/>
    <pivotHierarchy dragToData="1" caption="Threat"/>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048CB0-29C0-47C8-A146-4D334C3ECF22}" name="SWOT  primary weakness" cacheId="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BC97:BD108" firstHeaderRow="1" firstDataRow="1" firstDataCol="1"/>
  <pivotFields count="4">
    <pivotField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3"/>
    </i>
    <i>
      <x v="8"/>
    </i>
    <i>
      <x v="7"/>
    </i>
    <i>
      <x v="2"/>
    </i>
    <i>
      <x/>
    </i>
    <i>
      <x v="4"/>
    </i>
    <i>
      <x v="6"/>
    </i>
    <i>
      <x v="5"/>
    </i>
    <i>
      <x v="9"/>
    </i>
    <i>
      <x v="1"/>
    </i>
    <i t="grand">
      <x/>
    </i>
  </rowItems>
  <colItems count="1">
    <i/>
  </colItems>
  <dataFields count="1">
    <dataField name="Count of company_id" fld="1" subtotal="count" baseField="0" baseItem="0"/>
  </dataFields>
  <formats count="1">
    <format dxfId="8">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rength"/>
    <pivotHierarchy dragToData="1" caption="Weakness"/>
    <pivotHierarchy dragToData="1" caption="Opportunity"/>
    <pivotHierarchy dragToData="1" caption="Threat"/>
  </pivotHierarchies>
  <pivotTableStyleInfo name="PivotStyleLight16" showRowHeaders="1" showColHeaders="1" showRowStripes="0" showColStripes="0" showLastColumn="1"/>
  <filters count="1">
    <filter fld="2" type="count" id="1" iMeasureHier="19">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7620826-FCCE-48FE-A10B-1270EE885EA2}" name="SWOT  primary threat" cacheId="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CJ160:CK171" firstHeaderRow="1" firstDataRow="1" firstDataCol="1"/>
  <pivotFields count="4">
    <pivotField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5"/>
    </i>
    <i>
      <x v="9"/>
    </i>
    <i>
      <x v="7"/>
    </i>
    <i>
      <x v="4"/>
    </i>
    <i>
      <x v="8"/>
    </i>
    <i>
      <x/>
    </i>
    <i>
      <x v="1"/>
    </i>
    <i>
      <x v="3"/>
    </i>
    <i>
      <x v="2"/>
    </i>
    <i>
      <x v="6"/>
    </i>
    <i t="grand">
      <x/>
    </i>
  </rowItems>
  <colItems count="1">
    <i/>
  </colItems>
  <dataFields count="1">
    <dataField name="Count of company_id" fld="1" subtotal="count" baseField="0" baseItem="0"/>
  </dataFields>
  <formats count="1">
    <format dxfId="9">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rength"/>
    <pivotHierarchy dragToData="1" caption="Weakness"/>
    <pivotHierarchy dragToData="1" caption="Opportunity"/>
    <pivotHierarchy dragToData="1" caption="Threat"/>
  </pivotHierarchies>
  <pivotTableStyleInfo name="PivotStyleLight16" showRowHeaders="1" showColHeaders="1" showRowStripes="0" showColStripes="0" showLastColumn="1"/>
  <filters count="1">
    <filter fld="2" type="count" id="1" iMeasureHier="19">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5AEFEF8-F72B-4A6E-A2BC-0C4964744BA5}" name="SWOT market "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Z112:BE118" firstHeaderRow="1" firstDataRow="2"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v="2"/>
    </i>
    <i>
      <x/>
    </i>
    <i>
      <x v="1"/>
    </i>
    <i t="grand">
      <x/>
    </i>
  </rowItems>
  <colFields count="1">
    <field x="2"/>
  </colFields>
  <colItems count="5">
    <i>
      <x v="3"/>
    </i>
    <i>
      <x v="2"/>
    </i>
    <i>
      <x v="1"/>
    </i>
    <i>
      <x/>
    </i>
    <i t="grand">
      <x/>
    </i>
  </colItems>
  <dataFields count="1">
    <dataField name="Count of company_id" fld="0" subtotal="count" baseField="0" baseItem="0"/>
  </dataFields>
  <formats count="1">
    <format dxfId="10">
      <pivotArea grandRow="1"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rength"/>
    <pivotHierarchy dragToData="1" caption="Weakness"/>
    <pivotHierarchy dragToData="1" caption="Opportunity"/>
    <pivotHierarchy dragToData="1" caption="Threat"/>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2B0F507-6624-47FC-AEB8-852A40512827}" name="SWOT  primary strength"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Z97:BA10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1"/>
    </i>
    <i>
      <x v="4"/>
    </i>
    <i>
      <x/>
    </i>
    <i>
      <x v="6"/>
    </i>
    <i>
      <x v="5"/>
    </i>
    <i>
      <x v="8"/>
    </i>
    <i>
      <x v="3"/>
    </i>
    <i>
      <x v="7"/>
    </i>
    <i>
      <x v="9"/>
    </i>
    <i t="grand">
      <x/>
    </i>
  </rowItems>
  <colItems count="1">
    <i/>
  </colItems>
  <dataFields count="1">
    <dataField name="Count of company_id" fld="1" subtotal="count" baseField="0" baseItem="0"/>
  </dataFields>
  <formats count="1">
    <format dxfId="11">
      <pivotArea grandRow="1" outline="0" collapsedLevelsAreSubtotals="1" fieldPosition="0"/>
    </format>
  </formats>
  <chartFormats count="1">
    <chartFormat chart="1" format="3"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rength"/>
    <pivotHierarchy dragToData="1" caption="Weakness"/>
    <pivotHierarchy dragToData="1" caption="Opportunity"/>
    <pivotHierarchy dragToData="1" caption="Threat"/>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B47BE22-D48C-4D01-8ABA-6488B9A112FF}" name="SWOT industry score" cacheId="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AZ73:BD79"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6">
    <i>
      <x v="4"/>
    </i>
    <i>
      <x/>
    </i>
    <i>
      <x v="2"/>
    </i>
    <i>
      <x v="3"/>
    </i>
    <i>
      <x v="1"/>
    </i>
    <i t="grand">
      <x/>
    </i>
  </rowItems>
  <colFields count="1">
    <field x="-2"/>
  </colFields>
  <colItems count="4">
    <i>
      <x/>
    </i>
    <i i="1">
      <x v="1"/>
    </i>
    <i i="2">
      <x v="2"/>
    </i>
    <i i="3">
      <x v="3"/>
    </i>
  </colItems>
  <dataFields count="4">
    <dataField name="Strength" fld="0" subtotal="average" baseField="4" baseItem="0"/>
    <dataField name="Weakness" fld="1" subtotal="average" baseField="4" baseItem="0"/>
    <dataField name="Opportunity" fld="2" subtotal="average" baseField="4" baseItem="0"/>
    <dataField name="Threat" fld="3" subtotal="average" baseField="4" baseItem="0"/>
  </dataFields>
  <formats count="2">
    <format dxfId="13">
      <pivotArea collapsedLevelsAreSubtotals="1" fieldPosition="0">
        <references count="1">
          <reference field="4" count="0"/>
        </references>
      </pivotArea>
    </format>
    <format dxfId="1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rength"/>
    <pivotHierarchy dragToData="1" caption="Weakness"/>
    <pivotHierarchy dragToData="1" caption="Opportunity"/>
    <pivotHierarchy dragToData="1" caption="Threat"/>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B5D17C6-8F09-4209-89B2-3DA000DBEBCA}" name="SWOT rating score" cacheId="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location ref="AZ81:BA8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ompany_id" fld="0" subtotal="count" baseField="0" baseItem="0"/>
  </dataFields>
  <formats count="1">
    <format dxfId="14">
      <pivotArea grandRow="1"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rength"/>
    <pivotHierarchy dragToData="1" caption="Weakness"/>
    <pivotHierarchy dragToData="1" caption="Opportunity"/>
    <pivotHierarchy dragToData="1" caption="Threat"/>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FA182AB-3C38-4866-88F1-3A59FE2A84EC}" name="rg kpi cards 22"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Y69:AZ7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ompany_id" fld="1" subtotal="count" baseField="0" baseItem="0"/>
  </dataFields>
  <formats count="1">
    <format dxfId="0">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trength_score"/>
    <pivotHierarchy dragToData="1"/>
    <pivotHierarchy dragToData="1" caption="Average of opportunity_scor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284F9D7-AC26-4380-A84F-E6B32515181A}" name="R&amp;G kpi cards"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Y65:AZ6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strength_score" fld="0" subtotal="average" baseField="0" baseItem="0"/>
    <dataField name="Average of opportunity_score" fld="1" subtotal="average" baseField="0" baseItem="0"/>
  </dataFields>
  <formats count="1">
    <format dxfId="1">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trength_score"/>
    <pivotHierarchy dragToData="1"/>
    <pivotHierarchy dragToData="1" caption="Average of opportunity_scor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B09C16E-98C1-40FE-BCE8-0F6C12AF2C45}" name="rg s+w+o+t"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Y97:BC103"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Average of strength_score" fld="1" subtotal="average" baseField="0" baseItem="0"/>
    <dataField name="Average of weakness_score" fld="2" subtotal="average" baseField="0" baseItem="0"/>
    <dataField name="Average of opportunity_score" fld="3" subtotal="average" baseField="0" baseItem="0"/>
    <dataField name="Average of threat_score" fld="4" subtotal="average" baseField="0" baseItem="0"/>
  </dataFields>
  <formats count="1">
    <format dxfId="2">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trength_score"/>
    <pivotHierarchy dragToData="1" caption="Average of weakness_score"/>
    <pivotHierarchy dragToData="1" caption="Average of opportunity_score"/>
    <pivotHierarchy dragToData="1" caption="Average of threat_score"/>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A2A87FE-27DF-494E-B64B-72B87E2FE20E}" name="rg w+t"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Y87:BA93"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Threat Score" fld="1" subtotal="average" baseField="0" baseItem="0"/>
    <dataField name="Weakness Score" fld="2" subtotal="average" baseField="0" baseItem="0"/>
  </dataFields>
  <formats count="1">
    <format dxfId="3">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trength_score"/>
    <pivotHierarchy dragToData="1" caption="Weakness Score"/>
    <pivotHierarchy dragToData="1" caption="Average of opportunity_score"/>
    <pivotHierarchy dragToData="1" caption="Threat Score"/>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0F5178D-2EF7-41DB-BFE7-0C700503A73F}" name="rg s+o"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Y77:BA83"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trength Score" fld="2" subtotal="average" baseField="0" baseItem="0"/>
    <dataField name="Opportunity Score" fld="1" subtotal="average" baseField="0" baseItem="0"/>
  </dataFields>
  <formats count="1">
    <format dxfId="4">
      <pivotArea outline="0" collapsedLevelsAreSubtotals="1" fieldPosition="0"/>
    </format>
  </formats>
  <chartFormats count="2">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rength Score"/>
    <pivotHierarchy dragToData="1"/>
    <pivotHierarchy dragToData="1" caption="Opportunity Score"/>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ot.xlsx!swot_analysis_dataset">
        <x15:activeTabTopLevelEntity name="[swot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CAC0AF-B6BC-4571-8B52-E0CEA69C84C5}" autoFormatId="16" applyNumberFormats="0" applyBorderFormats="0" applyFontFormats="0" applyPatternFormats="0" applyAlignmentFormats="0" applyWidthHeightFormats="0">
  <queryTableRefresh nextId="18">
    <queryTableFields count="17">
      <queryTableField id="1" name="company_id" tableColumnId="1"/>
      <queryTableField id="2" name="Merged" tableColumnId="2"/>
      <queryTableField id="3" name="industry" tableColumnId="3"/>
      <queryTableField id="4" name="founded_year" tableColumnId="4"/>
      <queryTableField id="5" name="employee_count" tableColumnId="5"/>
      <queryTableField id="6" name="revenue_millions" tableColumnId="6"/>
      <queryTableField id="7" name="profitability_margin" tableColumnId="7"/>
      <queryTableField id="8" name="strength_score" tableColumnId="8"/>
      <queryTableField id="9" name="weakness_score" tableColumnId="9"/>
      <queryTableField id="10" name="opportunity_score" tableColumnId="10"/>
      <queryTableField id="11" name="threat_score" tableColumnId="11"/>
      <queryTableField id="12" name="primary_strength" tableColumnId="12"/>
      <queryTableField id="13" name="primary_weakness" tableColumnId="13"/>
      <queryTableField id="14" name="primary_opportunity" tableColumnId="14"/>
      <queryTableField id="15" name="primary_threat" tableColumnId="15"/>
      <queryTableField id="16" name="market_position" tableColumnId="16"/>
      <queryTableField id="17" name="swot_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A6663541-8D01-427B-A176-776687FDAFA9}" sourceName="[swot_analysis_dataset].[industry]">
  <pivotTables>
    <pivotTable tabId="4" name="ED SWOT RATING"/>
    <pivotTable tabId="4" name="ED POSITION MARKET"/>
    <pivotTable tabId="4" name="ED AVG BY INDUSTRY"/>
    <pivotTable tabId="4" name=" ED COMPNY"/>
    <pivotTable tabId="4" name="ED PROFIT"/>
    <pivotTable tabId="4" name="ED REVENUE"/>
    <pivotTable tabId="7" name="SWOT "/>
    <pivotTable tabId="7" name="SWOT  primary opportunity"/>
    <pivotTable tabId="7" name="SWOT  primary strength"/>
    <pivotTable tabId="7" name="SWOT  primary threat"/>
    <pivotTable tabId="7" name="SWOT  primary weakness"/>
    <pivotTable tabId="7" name="SWOT industry score"/>
    <pivotTable tabId="7" name="SWOT rating score"/>
    <pivotTable tabId="7" name="SWOT market "/>
    <pivotTable tabId="8" name="R&amp;G kpi cards"/>
    <pivotTable tabId="8" name="rg kpi cards 22"/>
    <pivotTable tabId="8" name="rg s+o"/>
    <pivotTable tabId="8" name="rg w+t"/>
  </pivotTables>
  <data>
    <olap pivotCacheId="176122394">
      <levels count="2">
        <level uniqueName="[swot_analysis_dataset].[industry].[(All)]" sourceCaption="(All)" count="0"/>
        <level uniqueName="[swot_analysis_dataset].[industry].[industry]" sourceCaption="industry" count="5" sortOrder="ascending">
          <ranges>
            <range startItem="0">
              <i n="[swot_analysis_dataset].[industry].&amp;[Finance]" c="Finance"/>
              <i n="[swot_analysis_dataset].[industry].&amp;[Healthcare]" c="Healthcare"/>
              <i n="[swot_analysis_dataset].[industry].&amp;[Manufacturing]" c="Manufacturing"/>
              <i n="[swot_analysis_dataset].[industry].&amp;[Retail]" c="Retail"/>
              <i n="[swot_analysis_dataset].[industry].&amp;[Technology]" c="Technology"/>
            </range>
          </ranges>
        </level>
      </levels>
      <selections count="1">
        <selection n="[swot_analysis_dataset].[indus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position" xr10:uid="{0EB94B40-E839-4E4C-9F34-35B495B20BE6}" sourceName="[swot_analysis_dataset].[market_position]">
  <pivotTables>
    <pivotTable tabId="4" name="ED SWOT RATING"/>
    <pivotTable tabId="4" name=" ED COMPNY"/>
    <pivotTable tabId="4" name="ED AVG BY INDUSTRY"/>
    <pivotTable tabId="4" name="ED POSITION MARKET"/>
    <pivotTable tabId="4" name="ED PROFIT"/>
    <pivotTable tabId="4" name="ED REVENUE"/>
    <pivotTable tabId="7" name="SWOT  primary opportunity"/>
    <pivotTable tabId="7" name="SWOT  primary strength"/>
    <pivotTable tabId="7" name="SWOT  primary threat"/>
    <pivotTable tabId="7" name="SWOT  primary weakness"/>
    <pivotTable tabId="7" name="SWOT industry score"/>
    <pivotTable tabId="7" name="SWOT rating score"/>
    <pivotTable tabId="7" name="SWOT market "/>
    <pivotTable tabId="8" name="R&amp;G kpi cards"/>
    <pivotTable tabId="7" name="SWOT "/>
    <pivotTable tabId="8" name="rg kpi cards 22"/>
    <pivotTable tabId="8" name="rg s+o"/>
    <pivotTable tabId="8" name="rg w+t"/>
    <pivotTable tabId="8" name="rg s+w+o+t"/>
  </pivotTables>
  <data>
    <olap pivotCacheId="176122394">
      <levels count="2">
        <level uniqueName="[swot_analysis_dataset].[market_position].[(All)]" sourceCaption="(All)" count="0"/>
        <level uniqueName="[swot_analysis_dataset].[market_position].[market_position]" sourceCaption="market_position" count="4">
          <ranges>
            <range startItem="0">
              <i n="[swot_analysis_dataset].[market_position].&amp;[Challenger]" c="Challenger"/>
              <i n="[swot_analysis_dataset].[market_position].&amp;[Follower]" c="Follower"/>
              <i n="[swot_analysis_dataset].[market_position].&amp;[Leader]" c="Leader"/>
              <i n="[swot_analysis_dataset].[market_position].&amp;[Niche]" c="Niche"/>
            </range>
          </ranges>
        </level>
      </levels>
      <selections count="1">
        <selection n="[swot_analysis_dataset].[market_posi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wot_rating" xr10:uid="{18EEE6A2-94CF-4292-A9BE-3F67F5F06E56}" sourceName="[swot_analysis_dataset].[swot_rating]">
  <pivotTables>
    <pivotTable tabId="4" name="ED SWOT RATING"/>
    <pivotTable tabId="4" name=" ED COMPNY"/>
    <pivotTable tabId="4" name="ED AVG BY INDUSTRY"/>
    <pivotTable tabId="4" name="ED POSITION MARKET"/>
    <pivotTable tabId="4" name="ED PROFIT"/>
    <pivotTable tabId="4" name="ED REVENUE"/>
    <pivotTable tabId="7" name="SWOT "/>
    <pivotTable tabId="7" name="SWOT  primary opportunity"/>
    <pivotTable tabId="7" name="SWOT  primary strength"/>
    <pivotTable tabId="7" name="SWOT  primary threat"/>
    <pivotTable tabId="7" name="SWOT  primary weakness"/>
    <pivotTable tabId="7" name="SWOT industry score"/>
    <pivotTable tabId="7" name="SWOT rating score"/>
    <pivotTable tabId="7" name="SWOT market "/>
    <pivotTable tabId="8" name="R&amp;G kpi cards"/>
    <pivotTable tabId="8" name="rg kpi cards 22"/>
    <pivotTable tabId="8" name="rg s+o"/>
    <pivotTable tabId="8" name="rg w+t"/>
    <pivotTable tabId="8" name="rg s+w+o+t"/>
  </pivotTables>
  <data>
    <olap pivotCacheId="176122394">
      <levels count="2">
        <level uniqueName="[swot_analysis_dataset].[swot_rating].[(All)]" sourceCaption="(All)" count="0"/>
        <level uniqueName="[swot_analysis_dataset].[swot_rating].[swot_rating]" sourceCaption="swot_rating" count="4">
          <ranges>
            <range startItem="0">
              <i n="[swot_analysis_dataset].[swot_rating].&amp;[Critical]" c="Critical"/>
              <i n="[swot_analysis_dataset].[swot_rating].&amp;[Neutral]" c="Neutral"/>
              <i n="[swot_analysis_dataset].[swot_rating].&amp;[Positive]" c="Positive"/>
              <i n="[swot_analysis_dataset].[swot_rating].&amp;[Strong]" c="Strong"/>
            </range>
          </ranges>
        </level>
      </levels>
      <selections count="1">
        <selection n="[swot_analysis_dataset].[swot_rati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9E91A60D-62CB-41D3-BABD-734F6082E5AF}" cache="Slicer_industry" caption="Industry" level="1" style="Slicer Style 1" rowHeight="504000"/>
  <slicer name="Market Position" xr10:uid="{30CB57AB-25FF-4746-92C5-F397F4D067C5}" cache="Slicer_market_position" caption="Market Position" level="1" style="Slicer Style 1" rowHeight="504000"/>
  <slicer name="swot_rating" xr10:uid="{E8CCA23B-494A-44BD-A6C4-C63F28D149F0}" cache="Slicer_swot_rating" caption="SWOT Rating" level="1" style="Slicer Style 1"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E655FA95-48BA-48EA-ABFF-D068AC444F30}" cache="Slicer_industry" caption="Industry" level="1" style="Slicer Style 1" rowHeight="504000"/>
  <slicer name="Market Position 1" xr10:uid="{7725095A-7B9B-4976-BA4B-91EAE5E61553}" cache="Slicer_market_position" caption="Market Position" level="1" style="Slicer Style 1" rowHeight="504000"/>
  <slicer name="swot_rating 1" xr10:uid="{1C1EF1C7-4D8A-46CA-A007-E35263261277}" cache="Slicer_swot_rating" caption="SWOT Rating" level="1" style="Slicer Style 1" rowHeight="50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2" xr10:uid="{5449D8D2-3892-4385-ACDF-B8CF0FA92C28}" cache="Slicer_industry" caption="Industry" level="1" style="Slicer Style 1" rowHeight="504000"/>
  <slicer name="Market Position 2" xr10:uid="{797D96D3-054A-45B2-AE00-544BED0B1DE5}" cache="Slicer_market_position" caption="Market Position" level="1" style="Slicer Style 1" rowHeight="504000"/>
  <slicer name="swot_rating 2" xr10:uid="{3A8FFDFA-58A6-4F3F-BCA0-85123F057675}" cache="Slicer_swot_rating" caption="SWOT Rating" level="1" style="Slicer Style 1"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A3E6E-4F4C-41F8-B8B0-117430426738}" name="swot_analysis_dataset" displayName="swot_analysis_dataset" ref="A1:Q301" tableType="queryTable" totalsRowShown="0">
  <autoFilter ref="A1:Q301" xr:uid="{04BA3E6E-4F4C-41F8-B8B0-117430426738}"/>
  <tableColumns count="17">
    <tableColumn id="1" xr3:uid="{216C1B37-30F0-40A4-A304-DFC00FAC7097}" uniqueName="1" name="company_id" queryTableFieldId="1" dataDxfId="32"/>
    <tableColumn id="2" xr3:uid="{444C112A-5B91-43AF-9D8B-09E96B30BB84}" uniqueName="2" name="Merged" queryTableFieldId="2" dataDxfId="31"/>
    <tableColumn id="3" xr3:uid="{42D8DA2C-ED71-4AFF-ADBA-CCD52B4A3907}" uniqueName="3" name="industry" queryTableFieldId="3" dataDxfId="30"/>
    <tableColumn id="4" xr3:uid="{06D0E6BF-7FBA-4AE2-8795-18E093EF6046}" uniqueName="4" name="founded_year" queryTableFieldId="4"/>
    <tableColumn id="5" xr3:uid="{1AE831F7-D071-4049-8525-966520CE4674}" uniqueName="5" name="employee_count" queryTableFieldId="5"/>
    <tableColumn id="6" xr3:uid="{1DFA8985-8D07-42A3-82B3-2BED0264A822}" uniqueName="6" name="revenue_millions" queryTableFieldId="6"/>
    <tableColumn id="7" xr3:uid="{28077536-A5DA-4126-B532-7E3002D9597D}" uniqueName="7" name="profitability_margin" queryTableFieldId="7"/>
    <tableColumn id="8" xr3:uid="{88D193F8-7405-44F7-87AB-EFEE4BB87530}" uniqueName="8" name="strength_score" queryTableFieldId="8"/>
    <tableColumn id="9" xr3:uid="{EA1880BC-626A-4AD2-B095-90198DB56F8F}" uniqueName="9" name="weakness_score" queryTableFieldId="9"/>
    <tableColumn id="10" xr3:uid="{D7274B64-2FF5-4407-BF28-C2CF4B0FCD11}" uniqueName="10" name="opportunity_score" queryTableFieldId="10"/>
    <tableColumn id="11" xr3:uid="{B19E638B-C898-42C5-AC44-747E92F5DF06}" uniqueName="11" name="threat_score" queryTableFieldId="11"/>
    <tableColumn id="12" xr3:uid="{DFF93A8C-A59F-4468-AD8F-2DEB6F9B925F}" uniqueName="12" name="primary_strength" queryTableFieldId="12" dataDxfId="29"/>
    <tableColumn id="13" xr3:uid="{A4B65CBC-2EF0-4F9C-96AB-84C020A18454}" uniqueName="13" name="primary_weakness" queryTableFieldId="13" dataDxfId="28"/>
    <tableColumn id="14" xr3:uid="{B35E467B-8FEF-4A65-A788-1A97C03CC26B}" uniqueName="14" name="primary_opportunity" queryTableFieldId="14" dataDxfId="27"/>
    <tableColumn id="15" xr3:uid="{6E91CB7B-8435-4283-AFC8-1F2EFC740646}" uniqueName="15" name="primary_threat" queryTableFieldId="15" dataDxfId="26"/>
    <tableColumn id="16" xr3:uid="{8077533D-4B88-4A94-AA1B-B67088F10936}" uniqueName="16" name="market_position" queryTableFieldId="16" dataDxfId="25"/>
    <tableColumn id="17" xr3:uid="{DA3C67DF-FB8D-49B7-BDEC-88DCE5CCA5BB}" uniqueName="17" name="swot_rating" queryTableFieldId="17" dataDxfId="2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microsoft.com/office/2007/relationships/slicer" Target="../slicers/slicer2.xml"/><Relationship Id="rId5" Type="http://schemas.openxmlformats.org/officeDocument/2006/relationships/pivotTable" Target="../pivotTables/pivotTable18.xml"/><Relationship Id="rId10" Type="http://schemas.openxmlformats.org/officeDocument/2006/relationships/drawing" Target="../drawings/drawing4.xml"/><Relationship Id="rId4" Type="http://schemas.openxmlformats.org/officeDocument/2006/relationships/pivotTable" Target="../pivotTables/pivotTable17.xml"/><Relationship Id="rId9"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4.xml"/><Relationship Id="rId7" Type="http://schemas.microsoft.com/office/2007/relationships/slicer" Target="../slicers/slicer3.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drawing" Target="../drawings/drawing5.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833D-BBC0-4972-92CE-5E05E45DADD3}">
  <dimension ref="A1:Q301"/>
  <sheetViews>
    <sheetView topLeftCell="A2" workbookViewId="0">
      <selection activeCell="B23" sqref="B23"/>
    </sheetView>
  </sheetViews>
  <sheetFormatPr defaultRowHeight="14.4" x14ac:dyDescent="0.3"/>
  <cols>
    <col min="1" max="1" width="13.6640625" bestFit="1" customWidth="1"/>
    <col min="2" max="2" width="26.44140625" bestFit="1" customWidth="1"/>
    <col min="3" max="3" width="12.88671875" bestFit="1" customWidth="1"/>
    <col min="4" max="4" width="15.109375" bestFit="1" customWidth="1"/>
    <col min="5" max="5" width="17.5546875" bestFit="1" customWidth="1"/>
    <col min="6" max="6" width="17.6640625" bestFit="1" customWidth="1"/>
    <col min="7" max="7" width="20.109375" bestFit="1" customWidth="1"/>
    <col min="8" max="8" width="15.77734375" bestFit="1" customWidth="1"/>
    <col min="9" max="9" width="16.88671875" bestFit="1" customWidth="1"/>
    <col min="10" max="10" width="18.88671875" bestFit="1" customWidth="1"/>
    <col min="11" max="11" width="13.77734375" bestFit="1" customWidth="1"/>
    <col min="12" max="12" width="20" bestFit="1" customWidth="1"/>
    <col min="13" max="13" width="23.33203125" bestFit="1" customWidth="1"/>
    <col min="14" max="14" width="22.88671875" bestFit="1" customWidth="1"/>
    <col min="15" max="15" width="23.21875" bestFit="1" customWidth="1"/>
    <col min="16" max="16" width="17.109375" bestFit="1" customWidth="1"/>
    <col min="17" max="17" width="13.109375" bestFit="1" customWidth="1"/>
  </cols>
  <sheetData>
    <row r="1" spans="1:17" x14ac:dyDescent="0.3">
      <c r="A1" t="s">
        <v>797</v>
      </c>
      <c r="B1" t="s">
        <v>798</v>
      </c>
      <c r="C1" t="s">
        <v>799</v>
      </c>
      <c r="D1" t="s">
        <v>800</v>
      </c>
      <c r="E1" t="s">
        <v>0</v>
      </c>
      <c r="F1" t="s">
        <v>801</v>
      </c>
      <c r="G1" t="s">
        <v>802</v>
      </c>
      <c r="H1" t="s">
        <v>803</v>
      </c>
      <c r="I1" t="s">
        <v>804</v>
      </c>
      <c r="J1" t="s">
        <v>805</v>
      </c>
      <c r="K1" t="s">
        <v>806</v>
      </c>
      <c r="L1" t="s">
        <v>807</v>
      </c>
      <c r="M1" t="s">
        <v>808</v>
      </c>
      <c r="N1" t="s">
        <v>809</v>
      </c>
      <c r="O1" t="s">
        <v>810</v>
      </c>
      <c r="P1" t="s">
        <v>811</v>
      </c>
      <c r="Q1" t="s">
        <v>812</v>
      </c>
    </row>
    <row r="2" spans="1:17" x14ac:dyDescent="0.3">
      <c r="A2" t="s">
        <v>1</v>
      </c>
      <c r="B2" t="s">
        <v>591</v>
      </c>
      <c r="C2" t="s">
        <v>3</v>
      </c>
      <c r="D2">
        <v>1995</v>
      </c>
      <c r="E2">
        <v>3707</v>
      </c>
      <c r="F2">
        <v>78.37</v>
      </c>
      <c r="G2">
        <v>1.56</v>
      </c>
      <c r="H2">
        <v>4</v>
      </c>
      <c r="I2">
        <v>7</v>
      </c>
      <c r="J2">
        <v>8</v>
      </c>
      <c r="K2">
        <v>6</v>
      </c>
      <c r="L2" t="s">
        <v>4</v>
      </c>
      <c r="M2" t="s">
        <v>5</v>
      </c>
      <c r="N2" t="s">
        <v>6</v>
      </c>
      <c r="O2" t="s">
        <v>7</v>
      </c>
      <c r="P2" t="s">
        <v>8</v>
      </c>
      <c r="Q2" t="s">
        <v>9</v>
      </c>
    </row>
    <row r="3" spans="1:17" x14ac:dyDescent="0.3">
      <c r="A3" t="s">
        <v>10</v>
      </c>
      <c r="B3" t="s">
        <v>592</v>
      </c>
      <c r="C3" t="s">
        <v>12</v>
      </c>
      <c r="D3">
        <v>2015</v>
      </c>
      <c r="E3">
        <v>3307</v>
      </c>
      <c r="F3">
        <v>360.85</v>
      </c>
      <c r="G3">
        <v>5.21</v>
      </c>
      <c r="H3">
        <v>9</v>
      </c>
      <c r="I3">
        <v>6</v>
      </c>
      <c r="J3">
        <v>6</v>
      </c>
      <c r="K3">
        <v>3</v>
      </c>
      <c r="L3" t="s">
        <v>13</v>
      </c>
      <c r="M3" t="s">
        <v>14</v>
      </c>
      <c r="N3" t="s">
        <v>15</v>
      </c>
      <c r="O3" t="s">
        <v>16</v>
      </c>
      <c r="P3" t="s">
        <v>17</v>
      </c>
      <c r="Q3" t="s">
        <v>18</v>
      </c>
    </row>
    <row r="4" spans="1:17" x14ac:dyDescent="0.3">
      <c r="A4" t="s">
        <v>19</v>
      </c>
      <c r="B4" t="s">
        <v>593</v>
      </c>
      <c r="C4" t="s">
        <v>3</v>
      </c>
      <c r="D4">
        <v>1986</v>
      </c>
      <c r="E4">
        <v>1569</v>
      </c>
      <c r="F4">
        <v>196.16</v>
      </c>
      <c r="G4">
        <v>11.56</v>
      </c>
      <c r="H4">
        <v>6</v>
      </c>
      <c r="I4">
        <v>4</v>
      </c>
      <c r="J4">
        <v>7</v>
      </c>
      <c r="K4">
        <v>4</v>
      </c>
      <c r="L4" t="s">
        <v>4</v>
      </c>
      <c r="M4" t="s">
        <v>5</v>
      </c>
      <c r="N4" t="s">
        <v>6</v>
      </c>
      <c r="O4" t="s">
        <v>21</v>
      </c>
      <c r="P4" t="s">
        <v>8</v>
      </c>
      <c r="Q4" t="s">
        <v>18</v>
      </c>
    </row>
    <row r="5" spans="1:17" x14ac:dyDescent="0.3">
      <c r="A5" t="s">
        <v>22</v>
      </c>
      <c r="B5" t="s">
        <v>594</v>
      </c>
      <c r="C5" t="s">
        <v>24</v>
      </c>
      <c r="D5">
        <v>1984</v>
      </c>
      <c r="E5">
        <v>800</v>
      </c>
      <c r="F5">
        <v>334.02</v>
      </c>
      <c r="G5">
        <v>6.11</v>
      </c>
      <c r="H5">
        <v>6</v>
      </c>
      <c r="I5">
        <v>2</v>
      </c>
      <c r="J5">
        <v>4</v>
      </c>
      <c r="K5">
        <v>2</v>
      </c>
      <c r="L5" t="s">
        <v>25</v>
      </c>
      <c r="M5" t="s">
        <v>26</v>
      </c>
      <c r="N5" t="s">
        <v>27</v>
      </c>
      <c r="O5" t="s">
        <v>28</v>
      </c>
      <c r="P5" t="s">
        <v>29</v>
      </c>
      <c r="Q5" t="s">
        <v>18</v>
      </c>
    </row>
    <row r="6" spans="1:17" x14ac:dyDescent="0.3">
      <c r="A6" t="s">
        <v>30</v>
      </c>
      <c r="B6" t="s">
        <v>595</v>
      </c>
      <c r="C6" t="s">
        <v>12</v>
      </c>
      <c r="D6">
        <v>2018</v>
      </c>
      <c r="E6">
        <v>2853</v>
      </c>
      <c r="F6">
        <v>271.73</v>
      </c>
      <c r="G6">
        <v>19.649999999999999</v>
      </c>
      <c r="H6">
        <v>5</v>
      </c>
      <c r="I6">
        <v>3</v>
      </c>
      <c r="J6">
        <v>6</v>
      </c>
      <c r="K6">
        <v>5</v>
      </c>
      <c r="L6" t="s">
        <v>32</v>
      </c>
      <c r="M6" t="s">
        <v>33</v>
      </c>
      <c r="N6" t="s">
        <v>34</v>
      </c>
      <c r="O6" t="s">
        <v>35</v>
      </c>
      <c r="P6" t="s">
        <v>29</v>
      </c>
      <c r="Q6" t="s">
        <v>36</v>
      </c>
    </row>
    <row r="7" spans="1:17" x14ac:dyDescent="0.3">
      <c r="A7" t="s">
        <v>37</v>
      </c>
      <c r="B7" t="s">
        <v>596</v>
      </c>
      <c r="C7" t="s">
        <v>3</v>
      </c>
      <c r="D7">
        <v>1984</v>
      </c>
      <c r="E7">
        <v>3506</v>
      </c>
      <c r="F7">
        <v>457.44</v>
      </c>
      <c r="G7">
        <v>-0.81</v>
      </c>
      <c r="H7">
        <v>8</v>
      </c>
      <c r="I7">
        <v>7</v>
      </c>
      <c r="J7">
        <v>5</v>
      </c>
      <c r="K7">
        <v>3</v>
      </c>
      <c r="L7" t="s">
        <v>39</v>
      </c>
      <c r="M7" t="s">
        <v>5</v>
      </c>
      <c r="N7" t="s">
        <v>40</v>
      </c>
      <c r="O7" t="s">
        <v>41</v>
      </c>
      <c r="P7" t="s">
        <v>42</v>
      </c>
      <c r="Q7" t="s">
        <v>36</v>
      </c>
    </row>
    <row r="8" spans="1:17" x14ac:dyDescent="0.3">
      <c r="A8" t="s">
        <v>43</v>
      </c>
      <c r="B8" t="s">
        <v>597</v>
      </c>
      <c r="C8" t="s">
        <v>3</v>
      </c>
      <c r="D8">
        <v>2017</v>
      </c>
      <c r="E8">
        <v>7069</v>
      </c>
      <c r="F8">
        <v>449.93</v>
      </c>
      <c r="G8">
        <v>-0.41</v>
      </c>
      <c r="H8">
        <v>7</v>
      </c>
      <c r="I8">
        <v>4</v>
      </c>
      <c r="J8">
        <v>4</v>
      </c>
      <c r="K8">
        <v>3</v>
      </c>
      <c r="L8" t="s">
        <v>45</v>
      </c>
      <c r="M8" t="s">
        <v>5</v>
      </c>
      <c r="N8" t="s">
        <v>6</v>
      </c>
      <c r="O8" t="s">
        <v>7</v>
      </c>
      <c r="P8" t="s">
        <v>8</v>
      </c>
      <c r="Q8" t="s">
        <v>18</v>
      </c>
    </row>
    <row r="9" spans="1:17" x14ac:dyDescent="0.3">
      <c r="A9" t="s">
        <v>580</v>
      </c>
      <c r="B9" t="s">
        <v>598</v>
      </c>
      <c r="C9" t="s">
        <v>48</v>
      </c>
      <c r="D9">
        <v>1984</v>
      </c>
      <c r="E9">
        <v>6354</v>
      </c>
      <c r="F9">
        <v>196.99</v>
      </c>
      <c r="G9">
        <v>3.81</v>
      </c>
      <c r="H9">
        <v>7</v>
      </c>
      <c r="I9">
        <v>6</v>
      </c>
      <c r="J9">
        <v>5</v>
      </c>
      <c r="K9">
        <v>6</v>
      </c>
      <c r="L9" t="s">
        <v>49</v>
      </c>
      <c r="M9" t="s">
        <v>50</v>
      </c>
      <c r="N9" t="s">
        <v>51</v>
      </c>
      <c r="O9" t="s">
        <v>52</v>
      </c>
      <c r="P9" t="s">
        <v>8</v>
      </c>
      <c r="Q9" t="s">
        <v>9</v>
      </c>
    </row>
    <row r="10" spans="1:17" x14ac:dyDescent="0.3">
      <c r="A10" t="s">
        <v>53</v>
      </c>
      <c r="B10" t="s">
        <v>599</v>
      </c>
      <c r="C10" t="s">
        <v>12</v>
      </c>
      <c r="D10">
        <v>1996</v>
      </c>
      <c r="E10">
        <v>8251</v>
      </c>
      <c r="F10">
        <v>383.36</v>
      </c>
      <c r="G10">
        <v>11.18</v>
      </c>
      <c r="H10">
        <v>8</v>
      </c>
      <c r="I10">
        <v>2</v>
      </c>
      <c r="J10">
        <v>8</v>
      </c>
      <c r="K10">
        <v>4</v>
      </c>
      <c r="L10" t="s">
        <v>55</v>
      </c>
      <c r="M10" t="s">
        <v>33</v>
      </c>
      <c r="N10" t="s">
        <v>56</v>
      </c>
      <c r="O10" t="s">
        <v>57</v>
      </c>
      <c r="P10" t="s">
        <v>29</v>
      </c>
      <c r="Q10" t="s">
        <v>18</v>
      </c>
    </row>
    <row r="11" spans="1:17" x14ac:dyDescent="0.3">
      <c r="A11" t="s">
        <v>58</v>
      </c>
      <c r="B11" t="s">
        <v>600</v>
      </c>
      <c r="C11" t="s">
        <v>48</v>
      </c>
      <c r="D11">
        <v>2000</v>
      </c>
      <c r="E11">
        <v>8055</v>
      </c>
      <c r="F11">
        <v>19.54</v>
      </c>
      <c r="G11">
        <v>24.34</v>
      </c>
      <c r="H11">
        <v>6</v>
      </c>
      <c r="I11">
        <v>4</v>
      </c>
      <c r="J11">
        <v>4</v>
      </c>
      <c r="K11">
        <v>2</v>
      </c>
      <c r="L11" t="s">
        <v>60</v>
      </c>
      <c r="M11" t="s">
        <v>50</v>
      </c>
      <c r="N11" t="s">
        <v>61</v>
      </c>
      <c r="O11" t="s">
        <v>62</v>
      </c>
      <c r="P11" t="s">
        <v>8</v>
      </c>
      <c r="Q11" t="s">
        <v>18</v>
      </c>
    </row>
    <row r="12" spans="1:17" x14ac:dyDescent="0.3">
      <c r="A12" t="s">
        <v>63</v>
      </c>
      <c r="B12" t="s">
        <v>601</v>
      </c>
      <c r="C12" t="s">
        <v>24</v>
      </c>
      <c r="D12">
        <v>2010</v>
      </c>
      <c r="E12">
        <v>9057</v>
      </c>
      <c r="F12">
        <v>90.91</v>
      </c>
      <c r="G12">
        <v>8.14</v>
      </c>
      <c r="H12">
        <v>8</v>
      </c>
      <c r="I12">
        <v>6</v>
      </c>
      <c r="J12">
        <v>6</v>
      </c>
      <c r="K12">
        <v>3</v>
      </c>
      <c r="L12" t="s">
        <v>65</v>
      </c>
      <c r="M12" t="s">
        <v>66</v>
      </c>
      <c r="N12" t="s">
        <v>67</v>
      </c>
      <c r="O12" t="s">
        <v>68</v>
      </c>
      <c r="P12" t="s">
        <v>42</v>
      </c>
      <c r="Q12" t="s">
        <v>18</v>
      </c>
    </row>
    <row r="13" spans="1:17" x14ac:dyDescent="0.3">
      <c r="A13" t="s">
        <v>69</v>
      </c>
      <c r="B13" t="s">
        <v>602</v>
      </c>
      <c r="C13" t="s">
        <v>12</v>
      </c>
      <c r="D13">
        <v>1995</v>
      </c>
      <c r="E13">
        <v>3731</v>
      </c>
      <c r="F13">
        <v>41.37</v>
      </c>
      <c r="G13">
        <v>1.87</v>
      </c>
      <c r="H13">
        <v>4</v>
      </c>
      <c r="I13">
        <v>6</v>
      </c>
      <c r="J13">
        <v>7</v>
      </c>
      <c r="K13">
        <v>3</v>
      </c>
      <c r="L13" t="s">
        <v>55</v>
      </c>
      <c r="M13" t="s">
        <v>33</v>
      </c>
      <c r="N13" t="s">
        <v>15</v>
      </c>
      <c r="O13" t="s">
        <v>35</v>
      </c>
      <c r="P13" t="s">
        <v>8</v>
      </c>
      <c r="Q13" t="s">
        <v>36</v>
      </c>
    </row>
    <row r="14" spans="1:17" x14ac:dyDescent="0.3">
      <c r="A14" t="s">
        <v>71</v>
      </c>
      <c r="B14" t="s">
        <v>603</v>
      </c>
      <c r="C14" t="s">
        <v>12</v>
      </c>
      <c r="D14">
        <v>2012</v>
      </c>
      <c r="E14">
        <v>3949</v>
      </c>
      <c r="F14">
        <v>146.44999999999999</v>
      </c>
      <c r="G14">
        <v>0.71</v>
      </c>
      <c r="H14">
        <v>7</v>
      </c>
      <c r="I14">
        <v>3</v>
      </c>
      <c r="J14">
        <v>7</v>
      </c>
      <c r="K14">
        <v>3</v>
      </c>
      <c r="L14" t="s">
        <v>55</v>
      </c>
      <c r="M14" t="s">
        <v>73</v>
      </c>
      <c r="N14" t="s">
        <v>56</v>
      </c>
      <c r="O14" t="s">
        <v>74</v>
      </c>
      <c r="P14" t="s">
        <v>17</v>
      </c>
      <c r="Q14" t="s">
        <v>18</v>
      </c>
    </row>
    <row r="15" spans="1:17" x14ac:dyDescent="0.3">
      <c r="A15" t="s">
        <v>75</v>
      </c>
      <c r="B15" t="s">
        <v>604</v>
      </c>
      <c r="C15" t="s">
        <v>3</v>
      </c>
      <c r="D15">
        <v>2007</v>
      </c>
      <c r="E15">
        <v>6785</v>
      </c>
      <c r="F15">
        <v>238.84</v>
      </c>
      <c r="G15">
        <v>2.46</v>
      </c>
      <c r="H15">
        <v>9</v>
      </c>
      <c r="I15">
        <v>2</v>
      </c>
      <c r="J15">
        <v>8</v>
      </c>
      <c r="K15">
        <v>7</v>
      </c>
      <c r="L15" t="s">
        <v>4</v>
      </c>
      <c r="M15" t="s">
        <v>77</v>
      </c>
      <c r="N15" t="s">
        <v>40</v>
      </c>
      <c r="O15" t="s">
        <v>78</v>
      </c>
      <c r="P15" t="s">
        <v>8</v>
      </c>
      <c r="Q15" t="s">
        <v>18</v>
      </c>
    </row>
    <row r="16" spans="1:17" x14ac:dyDescent="0.3">
      <c r="A16" t="s">
        <v>79</v>
      </c>
      <c r="B16" t="s">
        <v>605</v>
      </c>
      <c r="C16" t="s">
        <v>81</v>
      </c>
      <c r="D16">
        <v>1988</v>
      </c>
      <c r="E16">
        <v>6962</v>
      </c>
      <c r="F16">
        <v>99.91</v>
      </c>
      <c r="G16">
        <v>22.79</v>
      </c>
      <c r="H16">
        <v>7</v>
      </c>
      <c r="I16">
        <v>3</v>
      </c>
      <c r="J16">
        <v>3</v>
      </c>
      <c r="K16">
        <v>5</v>
      </c>
      <c r="L16" t="s">
        <v>82</v>
      </c>
      <c r="M16" t="s">
        <v>83</v>
      </c>
      <c r="N16" t="s">
        <v>82</v>
      </c>
      <c r="O16" t="s">
        <v>84</v>
      </c>
      <c r="P16" t="s">
        <v>8</v>
      </c>
      <c r="Q16" t="s">
        <v>36</v>
      </c>
    </row>
    <row r="17" spans="1:17" x14ac:dyDescent="0.3">
      <c r="A17" t="s">
        <v>85</v>
      </c>
      <c r="B17" t="s">
        <v>606</v>
      </c>
      <c r="C17" t="s">
        <v>81</v>
      </c>
      <c r="D17">
        <v>2011</v>
      </c>
      <c r="E17">
        <v>7936</v>
      </c>
      <c r="F17">
        <v>114.74</v>
      </c>
      <c r="G17">
        <v>7.69</v>
      </c>
      <c r="H17">
        <v>7</v>
      </c>
      <c r="I17">
        <v>2</v>
      </c>
      <c r="J17">
        <v>4</v>
      </c>
      <c r="K17">
        <v>5</v>
      </c>
      <c r="L17" t="s">
        <v>87</v>
      </c>
      <c r="M17" t="s">
        <v>88</v>
      </c>
      <c r="N17" t="s">
        <v>89</v>
      </c>
      <c r="O17" t="s">
        <v>90</v>
      </c>
      <c r="P17" t="s">
        <v>42</v>
      </c>
      <c r="Q17" t="s">
        <v>18</v>
      </c>
    </row>
    <row r="18" spans="1:17" x14ac:dyDescent="0.3">
      <c r="A18" t="s">
        <v>91</v>
      </c>
      <c r="B18" t="s">
        <v>607</v>
      </c>
      <c r="C18" t="s">
        <v>24</v>
      </c>
      <c r="D18">
        <v>1992</v>
      </c>
      <c r="E18">
        <v>4911</v>
      </c>
      <c r="F18">
        <v>116.67</v>
      </c>
      <c r="G18">
        <v>10.09</v>
      </c>
      <c r="H18">
        <v>4</v>
      </c>
      <c r="I18">
        <v>6</v>
      </c>
      <c r="J18">
        <v>8</v>
      </c>
      <c r="K18">
        <v>6</v>
      </c>
      <c r="L18" t="s">
        <v>60</v>
      </c>
      <c r="M18" t="s">
        <v>26</v>
      </c>
      <c r="N18" t="s">
        <v>93</v>
      </c>
      <c r="O18" t="s">
        <v>16</v>
      </c>
      <c r="P18" t="s">
        <v>17</v>
      </c>
      <c r="Q18" t="s">
        <v>9</v>
      </c>
    </row>
    <row r="19" spans="1:17" x14ac:dyDescent="0.3">
      <c r="A19" t="s">
        <v>94</v>
      </c>
      <c r="B19" t="s">
        <v>606</v>
      </c>
      <c r="C19" t="s">
        <v>12</v>
      </c>
      <c r="D19">
        <v>2012</v>
      </c>
      <c r="E19">
        <v>1362</v>
      </c>
      <c r="F19">
        <v>427.16</v>
      </c>
      <c r="G19">
        <v>13.58</v>
      </c>
      <c r="H19">
        <v>4</v>
      </c>
      <c r="I19">
        <v>6</v>
      </c>
      <c r="J19">
        <v>3</v>
      </c>
      <c r="K19">
        <v>7</v>
      </c>
      <c r="L19" t="s">
        <v>95</v>
      </c>
      <c r="M19" t="s">
        <v>73</v>
      </c>
      <c r="N19" t="s">
        <v>15</v>
      </c>
      <c r="O19" t="s">
        <v>16</v>
      </c>
      <c r="P19" t="s">
        <v>8</v>
      </c>
      <c r="Q19" t="s">
        <v>96</v>
      </c>
    </row>
    <row r="20" spans="1:17" x14ac:dyDescent="0.3">
      <c r="A20" t="s">
        <v>97</v>
      </c>
      <c r="B20" t="s">
        <v>608</v>
      </c>
      <c r="C20" t="s">
        <v>48</v>
      </c>
      <c r="D20">
        <v>2013</v>
      </c>
      <c r="E20">
        <v>5233</v>
      </c>
      <c r="F20">
        <v>468.01</v>
      </c>
      <c r="G20">
        <v>8.7200000000000006</v>
      </c>
      <c r="H20">
        <v>5</v>
      </c>
      <c r="I20">
        <v>7</v>
      </c>
      <c r="J20">
        <v>8</v>
      </c>
      <c r="K20">
        <v>4</v>
      </c>
      <c r="L20" t="s">
        <v>60</v>
      </c>
      <c r="M20" t="s">
        <v>99</v>
      </c>
      <c r="N20" t="s">
        <v>89</v>
      </c>
      <c r="O20" t="s">
        <v>100</v>
      </c>
      <c r="P20" t="s">
        <v>42</v>
      </c>
      <c r="Q20" t="s">
        <v>36</v>
      </c>
    </row>
    <row r="21" spans="1:17" x14ac:dyDescent="0.3">
      <c r="A21" t="s">
        <v>101</v>
      </c>
      <c r="B21" t="s">
        <v>609</v>
      </c>
      <c r="C21" t="s">
        <v>81</v>
      </c>
      <c r="D21">
        <v>2019</v>
      </c>
      <c r="E21">
        <v>9274</v>
      </c>
      <c r="F21">
        <v>498.09</v>
      </c>
      <c r="G21">
        <v>6.09</v>
      </c>
      <c r="H21">
        <v>4</v>
      </c>
      <c r="I21">
        <v>6</v>
      </c>
      <c r="J21">
        <v>4</v>
      </c>
      <c r="K21">
        <v>6</v>
      </c>
      <c r="L21" t="s">
        <v>103</v>
      </c>
      <c r="M21" t="s">
        <v>104</v>
      </c>
      <c r="N21" t="s">
        <v>89</v>
      </c>
      <c r="O21" t="s">
        <v>84</v>
      </c>
      <c r="P21" t="s">
        <v>29</v>
      </c>
      <c r="Q21" t="s">
        <v>96</v>
      </c>
    </row>
    <row r="22" spans="1:17" x14ac:dyDescent="0.3">
      <c r="A22" t="s">
        <v>105</v>
      </c>
      <c r="B22" t="s">
        <v>599</v>
      </c>
      <c r="C22" t="s">
        <v>48</v>
      </c>
      <c r="D22">
        <v>1999</v>
      </c>
      <c r="E22">
        <v>8716</v>
      </c>
      <c r="F22">
        <v>13.83</v>
      </c>
      <c r="G22">
        <v>3.17</v>
      </c>
      <c r="H22">
        <v>8</v>
      </c>
      <c r="I22">
        <v>4</v>
      </c>
      <c r="J22">
        <v>8</v>
      </c>
      <c r="K22">
        <v>2</v>
      </c>
      <c r="L22" t="s">
        <v>60</v>
      </c>
      <c r="M22" t="s">
        <v>99</v>
      </c>
      <c r="N22" t="s">
        <v>61</v>
      </c>
      <c r="O22" t="s">
        <v>106</v>
      </c>
      <c r="P22" t="s">
        <v>29</v>
      </c>
      <c r="Q22" t="s">
        <v>18</v>
      </c>
    </row>
    <row r="23" spans="1:17" x14ac:dyDescent="0.3">
      <c r="A23" t="s">
        <v>107</v>
      </c>
      <c r="B23" t="s">
        <v>610</v>
      </c>
      <c r="C23" t="s">
        <v>24</v>
      </c>
      <c r="D23">
        <v>2020</v>
      </c>
      <c r="E23">
        <v>4375</v>
      </c>
      <c r="F23">
        <v>257.64999999999998</v>
      </c>
      <c r="G23">
        <v>18.13</v>
      </c>
      <c r="H23">
        <v>6</v>
      </c>
      <c r="I23">
        <v>2</v>
      </c>
      <c r="J23">
        <v>3</v>
      </c>
      <c r="K23">
        <v>7</v>
      </c>
      <c r="L23" t="s">
        <v>25</v>
      </c>
      <c r="M23" t="s">
        <v>26</v>
      </c>
      <c r="N23" t="s">
        <v>93</v>
      </c>
      <c r="O23" t="s">
        <v>16</v>
      </c>
      <c r="P23" t="s">
        <v>42</v>
      </c>
      <c r="Q23" t="s">
        <v>9</v>
      </c>
    </row>
    <row r="24" spans="1:17" x14ac:dyDescent="0.3">
      <c r="A24" t="s">
        <v>109</v>
      </c>
      <c r="B24" t="s">
        <v>611</v>
      </c>
      <c r="C24" t="s">
        <v>81</v>
      </c>
      <c r="D24">
        <v>2015</v>
      </c>
      <c r="E24">
        <v>7057</v>
      </c>
      <c r="F24">
        <v>284.83999999999997</v>
      </c>
      <c r="G24">
        <v>-1.18</v>
      </c>
      <c r="H24">
        <v>4</v>
      </c>
      <c r="I24">
        <v>2</v>
      </c>
      <c r="J24">
        <v>8</v>
      </c>
      <c r="K24">
        <v>3</v>
      </c>
      <c r="L24" t="s">
        <v>82</v>
      </c>
      <c r="M24" t="s">
        <v>83</v>
      </c>
      <c r="N24" t="s">
        <v>89</v>
      </c>
      <c r="O24" t="s">
        <v>111</v>
      </c>
      <c r="P24" t="s">
        <v>17</v>
      </c>
      <c r="Q24" t="s">
        <v>18</v>
      </c>
    </row>
    <row r="25" spans="1:17" x14ac:dyDescent="0.3">
      <c r="A25" t="s">
        <v>112</v>
      </c>
      <c r="B25" t="s">
        <v>610</v>
      </c>
      <c r="C25" t="s">
        <v>12</v>
      </c>
      <c r="D25">
        <v>2002</v>
      </c>
      <c r="E25">
        <v>3491</v>
      </c>
      <c r="F25">
        <v>344.21</v>
      </c>
      <c r="G25">
        <v>21.44</v>
      </c>
      <c r="H25">
        <v>9</v>
      </c>
      <c r="I25">
        <v>2</v>
      </c>
      <c r="J25">
        <v>5</v>
      </c>
      <c r="K25">
        <v>6</v>
      </c>
      <c r="L25" t="s">
        <v>13</v>
      </c>
      <c r="M25" t="s">
        <v>33</v>
      </c>
      <c r="N25" t="s">
        <v>56</v>
      </c>
      <c r="O25" t="s">
        <v>16</v>
      </c>
      <c r="P25" t="s">
        <v>29</v>
      </c>
      <c r="Q25" t="s">
        <v>18</v>
      </c>
    </row>
    <row r="26" spans="1:17" x14ac:dyDescent="0.3">
      <c r="A26" t="s">
        <v>113</v>
      </c>
      <c r="B26" t="s">
        <v>612</v>
      </c>
      <c r="C26" t="s">
        <v>3</v>
      </c>
      <c r="D26">
        <v>2006</v>
      </c>
      <c r="E26">
        <v>4115</v>
      </c>
      <c r="F26">
        <v>140.72999999999999</v>
      </c>
      <c r="G26">
        <v>4.16</v>
      </c>
      <c r="H26">
        <v>9</v>
      </c>
      <c r="I26">
        <v>2</v>
      </c>
      <c r="J26">
        <v>6</v>
      </c>
      <c r="K26">
        <v>2</v>
      </c>
      <c r="L26" t="s">
        <v>39</v>
      </c>
      <c r="M26" t="s">
        <v>115</v>
      </c>
      <c r="N26" t="s">
        <v>116</v>
      </c>
      <c r="O26" t="s">
        <v>21</v>
      </c>
      <c r="P26" t="s">
        <v>42</v>
      </c>
      <c r="Q26" t="s">
        <v>18</v>
      </c>
    </row>
    <row r="27" spans="1:17" x14ac:dyDescent="0.3">
      <c r="A27" t="s">
        <v>117</v>
      </c>
      <c r="B27" t="s">
        <v>613</v>
      </c>
      <c r="C27" t="s">
        <v>12</v>
      </c>
      <c r="D27">
        <v>1992</v>
      </c>
      <c r="E27">
        <v>6578</v>
      </c>
      <c r="F27">
        <v>170.85</v>
      </c>
      <c r="G27">
        <v>21.31</v>
      </c>
      <c r="H27">
        <v>4</v>
      </c>
      <c r="I27">
        <v>4</v>
      </c>
      <c r="J27">
        <v>5</v>
      </c>
      <c r="K27">
        <v>7</v>
      </c>
      <c r="L27" t="s">
        <v>55</v>
      </c>
      <c r="M27" t="s">
        <v>73</v>
      </c>
      <c r="N27" t="s">
        <v>34</v>
      </c>
      <c r="O27" t="s">
        <v>35</v>
      </c>
      <c r="P27" t="s">
        <v>8</v>
      </c>
      <c r="Q27" t="s">
        <v>9</v>
      </c>
    </row>
    <row r="28" spans="1:17" x14ac:dyDescent="0.3">
      <c r="A28" t="s">
        <v>119</v>
      </c>
      <c r="B28" t="s">
        <v>614</v>
      </c>
      <c r="C28" t="s">
        <v>48</v>
      </c>
      <c r="D28">
        <v>1996</v>
      </c>
      <c r="E28">
        <v>676</v>
      </c>
      <c r="F28">
        <v>63.12</v>
      </c>
      <c r="G28">
        <v>-3.67</v>
      </c>
      <c r="H28">
        <v>7</v>
      </c>
      <c r="I28">
        <v>4</v>
      </c>
      <c r="J28">
        <v>8</v>
      </c>
      <c r="K28">
        <v>4</v>
      </c>
      <c r="L28" t="s">
        <v>121</v>
      </c>
      <c r="M28" t="s">
        <v>50</v>
      </c>
      <c r="N28" t="s">
        <v>89</v>
      </c>
      <c r="O28" t="s">
        <v>100</v>
      </c>
      <c r="P28" t="s">
        <v>42</v>
      </c>
      <c r="Q28" t="s">
        <v>18</v>
      </c>
    </row>
    <row r="29" spans="1:17" x14ac:dyDescent="0.3">
      <c r="A29" t="s">
        <v>122</v>
      </c>
      <c r="B29" t="s">
        <v>615</v>
      </c>
      <c r="C29" t="s">
        <v>48</v>
      </c>
      <c r="D29">
        <v>2014</v>
      </c>
      <c r="E29">
        <v>3278</v>
      </c>
      <c r="F29">
        <v>188.47</v>
      </c>
      <c r="G29">
        <v>4.79</v>
      </c>
      <c r="H29">
        <v>4</v>
      </c>
      <c r="I29">
        <v>7</v>
      </c>
      <c r="J29">
        <v>5</v>
      </c>
      <c r="K29">
        <v>6</v>
      </c>
      <c r="L29" t="s">
        <v>124</v>
      </c>
      <c r="M29" t="s">
        <v>50</v>
      </c>
      <c r="N29" t="s">
        <v>51</v>
      </c>
      <c r="O29" t="s">
        <v>52</v>
      </c>
      <c r="P29" t="s">
        <v>17</v>
      </c>
      <c r="Q29" t="s">
        <v>96</v>
      </c>
    </row>
    <row r="30" spans="1:17" x14ac:dyDescent="0.3">
      <c r="A30" t="s">
        <v>125</v>
      </c>
      <c r="B30" t="s">
        <v>616</v>
      </c>
      <c r="C30" t="s">
        <v>24</v>
      </c>
      <c r="D30">
        <v>1992</v>
      </c>
      <c r="E30">
        <v>6938</v>
      </c>
      <c r="F30">
        <v>335.82</v>
      </c>
      <c r="G30">
        <v>3.61</v>
      </c>
      <c r="H30">
        <v>7</v>
      </c>
      <c r="I30">
        <v>7</v>
      </c>
      <c r="J30">
        <v>8</v>
      </c>
      <c r="K30">
        <v>3</v>
      </c>
      <c r="L30" t="s">
        <v>65</v>
      </c>
      <c r="M30" t="s">
        <v>26</v>
      </c>
      <c r="N30" t="s">
        <v>27</v>
      </c>
      <c r="O30" t="s">
        <v>16</v>
      </c>
      <c r="P30" t="s">
        <v>42</v>
      </c>
      <c r="Q30" t="s">
        <v>18</v>
      </c>
    </row>
    <row r="31" spans="1:17" x14ac:dyDescent="0.3">
      <c r="A31" t="s">
        <v>127</v>
      </c>
      <c r="B31" t="s">
        <v>617</v>
      </c>
      <c r="C31" t="s">
        <v>48</v>
      </c>
      <c r="D31">
        <v>2000</v>
      </c>
      <c r="E31">
        <v>7668</v>
      </c>
      <c r="F31">
        <v>226.48</v>
      </c>
      <c r="G31">
        <v>19.55</v>
      </c>
      <c r="H31">
        <v>9</v>
      </c>
      <c r="I31">
        <v>3</v>
      </c>
      <c r="J31">
        <v>7</v>
      </c>
      <c r="K31">
        <v>5</v>
      </c>
      <c r="L31" t="s">
        <v>60</v>
      </c>
      <c r="M31" t="s">
        <v>50</v>
      </c>
      <c r="N31" t="s">
        <v>51</v>
      </c>
      <c r="O31" t="s">
        <v>52</v>
      </c>
      <c r="P31" t="s">
        <v>8</v>
      </c>
      <c r="Q31" t="s">
        <v>18</v>
      </c>
    </row>
    <row r="32" spans="1:17" x14ac:dyDescent="0.3">
      <c r="A32" t="s">
        <v>129</v>
      </c>
      <c r="B32" t="s">
        <v>618</v>
      </c>
      <c r="C32" t="s">
        <v>24</v>
      </c>
      <c r="D32">
        <v>1992</v>
      </c>
      <c r="E32">
        <v>2464</v>
      </c>
      <c r="F32">
        <v>21.97</v>
      </c>
      <c r="G32">
        <v>6.99</v>
      </c>
      <c r="H32">
        <v>5</v>
      </c>
      <c r="I32">
        <v>5</v>
      </c>
      <c r="J32">
        <v>7</v>
      </c>
      <c r="K32">
        <v>2</v>
      </c>
      <c r="L32" t="s">
        <v>25</v>
      </c>
      <c r="M32" t="s">
        <v>131</v>
      </c>
      <c r="N32" t="s">
        <v>132</v>
      </c>
      <c r="O32" t="s">
        <v>68</v>
      </c>
      <c r="P32" t="s">
        <v>17</v>
      </c>
      <c r="Q32" t="s">
        <v>18</v>
      </c>
    </row>
    <row r="33" spans="1:17" x14ac:dyDescent="0.3">
      <c r="A33" t="s">
        <v>133</v>
      </c>
      <c r="B33" t="s">
        <v>619</v>
      </c>
      <c r="C33" t="s">
        <v>12</v>
      </c>
      <c r="D33">
        <v>2007</v>
      </c>
      <c r="E33">
        <v>3635</v>
      </c>
      <c r="F33">
        <v>96.18</v>
      </c>
      <c r="G33">
        <v>19.04</v>
      </c>
      <c r="H33">
        <v>9</v>
      </c>
      <c r="I33">
        <v>6</v>
      </c>
      <c r="J33">
        <v>6</v>
      </c>
      <c r="K33">
        <v>2</v>
      </c>
      <c r="L33" t="s">
        <v>55</v>
      </c>
      <c r="M33" t="s">
        <v>33</v>
      </c>
      <c r="N33" t="s">
        <v>15</v>
      </c>
      <c r="O33" t="s">
        <v>74</v>
      </c>
      <c r="P33" t="s">
        <v>29</v>
      </c>
      <c r="Q33" t="s">
        <v>18</v>
      </c>
    </row>
    <row r="34" spans="1:17" x14ac:dyDescent="0.3">
      <c r="A34" t="s">
        <v>135</v>
      </c>
      <c r="B34" t="s">
        <v>620</v>
      </c>
      <c r="C34" t="s">
        <v>48</v>
      </c>
      <c r="D34">
        <v>2000</v>
      </c>
      <c r="E34">
        <v>7301</v>
      </c>
      <c r="F34">
        <v>310.2</v>
      </c>
      <c r="G34">
        <v>17.55</v>
      </c>
      <c r="H34">
        <v>9</v>
      </c>
      <c r="I34">
        <v>6</v>
      </c>
      <c r="J34">
        <v>6</v>
      </c>
      <c r="K34">
        <v>6</v>
      </c>
      <c r="L34" t="s">
        <v>121</v>
      </c>
      <c r="M34" t="s">
        <v>14</v>
      </c>
      <c r="N34" t="s">
        <v>89</v>
      </c>
      <c r="O34" t="s">
        <v>62</v>
      </c>
      <c r="P34" t="s">
        <v>42</v>
      </c>
      <c r="Q34" t="s">
        <v>36</v>
      </c>
    </row>
    <row r="35" spans="1:17" x14ac:dyDescent="0.3">
      <c r="A35" t="s">
        <v>137</v>
      </c>
      <c r="B35" t="s">
        <v>621</v>
      </c>
      <c r="C35" t="s">
        <v>81</v>
      </c>
      <c r="D35">
        <v>2020</v>
      </c>
      <c r="E35">
        <v>3969</v>
      </c>
      <c r="F35">
        <v>144.55000000000001</v>
      </c>
      <c r="G35">
        <v>-0.48</v>
      </c>
      <c r="H35">
        <v>4</v>
      </c>
      <c r="I35">
        <v>7</v>
      </c>
      <c r="J35">
        <v>5</v>
      </c>
      <c r="K35">
        <v>3</v>
      </c>
      <c r="L35" t="s">
        <v>103</v>
      </c>
      <c r="M35" t="s">
        <v>139</v>
      </c>
      <c r="N35" t="s">
        <v>89</v>
      </c>
      <c r="O35" t="s">
        <v>84</v>
      </c>
      <c r="P35" t="s">
        <v>29</v>
      </c>
      <c r="Q35" t="s">
        <v>9</v>
      </c>
    </row>
    <row r="36" spans="1:17" x14ac:dyDescent="0.3">
      <c r="A36" t="s">
        <v>140</v>
      </c>
      <c r="B36" t="s">
        <v>606</v>
      </c>
      <c r="C36" t="s">
        <v>24</v>
      </c>
      <c r="D36">
        <v>1984</v>
      </c>
      <c r="E36">
        <v>6847</v>
      </c>
      <c r="F36">
        <v>209.72</v>
      </c>
      <c r="G36">
        <v>9.31</v>
      </c>
      <c r="H36">
        <v>8</v>
      </c>
      <c r="I36">
        <v>5</v>
      </c>
      <c r="J36">
        <v>6</v>
      </c>
      <c r="K36">
        <v>2</v>
      </c>
      <c r="L36" t="s">
        <v>141</v>
      </c>
      <c r="M36" t="s">
        <v>131</v>
      </c>
      <c r="N36" t="s">
        <v>27</v>
      </c>
      <c r="O36" t="s">
        <v>16</v>
      </c>
      <c r="P36" t="s">
        <v>17</v>
      </c>
      <c r="Q36" t="s">
        <v>18</v>
      </c>
    </row>
    <row r="37" spans="1:17" x14ac:dyDescent="0.3">
      <c r="A37" t="s">
        <v>142</v>
      </c>
      <c r="B37" t="s">
        <v>622</v>
      </c>
      <c r="C37" t="s">
        <v>81</v>
      </c>
      <c r="D37">
        <v>2006</v>
      </c>
      <c r="E37">
        <v>8868</v>
      </c>
      <c r="F37">
        <v>376.28</v>
      </c>
      <c r="G37">
        <v>6.67</v>
      </c>
      <c r="H37">
        <v>8</v>
      </c>
      <c r="I37">
        <v>6</v>
      </c>
      <c r="J37">
        <v>4</v>
      </c>
      <c r="K37">
        <v>5</v>
      </c>
      <c r="L37" t="s">
        <v>144</v>
      </c>
      <c r="M37" t="s">
        <v>139</v>
      </c>
      <c r="N37" t="s">
        <v>145</v>
      </c>
      <c r="O37" t="s">
        <v>90</v>
      </c>
      <c r="P37" t="s">
        <v>8</v>
      </c>
      <c r="Q37" t="s">
        <v>36</v>
      </c>
    </row>
    <row r="38" spans="1:17" x14ac:dyDescent="0.3">
      <c r="A38" t="s">
        <v>146</v>
      </c>
      <c r="B38" t="s">
        <v>623</v>
      </c>
      <c r="C38" t="s">
        <v>81</v>
      </c>
      <c r="D38">
        <v>1988</v>
      </c>
      <c r="E38">
        <v>8801</v>
      </c>
      <c r="F38">
        <v>23.21</v>
      </c>
      <c r="G38">
        <v>0.45</v>
      </c>
      <c r="H38">
        <v>7</v>
      </c>
      <c r="I38">
        <v>6</v>
      </c>
      <c r="J38">
        <v>7</v>
      </c>
      <c r="K38">
        <v>7</v>
      </c>
      <c r="L38" t="s">
        <v>87</v>
      </c>
      <c r="M38" t="s">
        <v>83</v>
      </c>
      <c r="N38" t="s">
        <v>145</v>
      </c>
      <c r="O38" t="s">
        <v>111</v>
      </c>
      <c r="P38" t="s">
        <v>17</v>
      </c>
      <c r="Q38" t="s">
        <v>36</v>
      </c>
    </row>
    <row r="39" spans="1:17" x14ac:dyDescent="0.3">
      <c r="A39" t="s">
        <v>148</v>
      </c>
      <c r="B39" t="s">
        <v>624</v>
      </c>
      <c r="C39" t="s">
        <v>3</v>
      </c>
      <c r="D39">
        <v>1993</v>
      </c>
      <c r="E39">
        <v>7499</v>
      </c>
      <c r="F39">
        <v>170.15</v>
      </c>
      <c r="G39">
        <v>1.73</v>
      </c>
      <c r="H39">
        <v>7</v>
      </c>
      <c r="I39">
        <v>4</v>
      </c>
      <c r="J39">
        <v>6</v>
      </c>
      <c r="K39">
        <v>4</v>
      </c>
      <c r="L39" t="s">
        <v>4</v>
      </c>
      <c r="M39" t="s">
        <v>5</v>
      </c>
      <c r="N39" t="s">
        <v>6</v>
      </c>
      <c r="O39" t="s">
        <v>7</v>
      </c>
      <c r="P39" t="s">
        <v>42</v>
      </c>
      <c r="Q39" t="s">
        <v>18</v>
      </c>
    </row>
    <row r="40" spans="1:17" x14ac:dyDescent="0.3">
      <c r="A40" t="s">
        <v>150</v>
      </c>
      <c r="B40" t="s">
        <v>625</v>
      </c>
      <c r="C40" t="s">
        <v>12</v>
      </c>
      <c r="D40">
        <v>1995</v>
      </c>
      <c r="E40">
        <v>3316</v>
      </c>
      <c r="F40">
        <v>421.22</v>
      </c>
      <c r="G40">
        <v>18.010000000000002</v>
      </c>
      <c r="H40">
        <v>8</v>
      </c>
      <c r="I40">
        <v>3</v>
      </c>
      <c r="J40">
        <v>4</v>
      </c>
      <c r="K40">
        <v>3</v>
      </c>
      <c r="L40" t="s">
        <v>13</v>
      </c>
      <c r="M40" t="s">
        <v>152</v>
      </c>
      <c r="N40" t="s">
        <v>56</v>
      </c>
      <c r="O40" t="s">
        <v>74</v>
      </c>
      <c r="P40" t="s">
        <v>42</v>
      </c>
      <c r="Q40" t="s">
        <v>18</v>
      </c>
    </row>
    <row r="41" spans="1:17" x14ac:dyDescent="0.3">
      <c r="A41" t="s">
        <v>153</v>
      </c>
      <c r="B41" t="s">
        <v>594</v>
      </c>
      <c r="C41" t="s">
        <v>48</v>
      </c>
      <c r="D41">
        <v>1987</v>
      </c>
      <c r="E41">
        <v>2733</v>
      </c>
      <c r="F41">
        <v>482.71</v>
      </c>
      <c r="G41">
        <v>12.76</v>
      </c>
      <c r="H41">
        <v>4</v>
      </c>
      <c r="I41">
        <v>6</v>
      </c>
      <c r="J41">
        <v>3</v>
      </c>
      <c r="K41">
        <v>4</v>
      </c>
      <c r="L41" t="s">
        <v>51</v>
      </c>
      <c r="M41" t="s">
        <v>154</v>
      </c>
      <c r="N41" t="s">
        <v>89</v>
      </c>
      <c r="O41" t="s">
        <v>100</v>
      </c>
      <c r="P41" t="s">
        <v>8</v>
      </c>
      <c r="Q41" t="s">
        <v>96</v>
      </c>
    </row>
    <row r="42" spans="1:17" x14ac:dyDescent="0.3">
      <c r="A42" t="s">
        <v>155</v>
      </c>
      <c r="B42" t="s">
        <v>626</v>
      </c>
      <c r="C42" t="s">
        <v>3</v>
      </c>
      <c r="D42">
        <v>2018</v>
      </c>
      <c r="E42">
        <v>2033</v>
      </c>
      <c r="F42">
        <v>400.15</v>
      </c>
      <c r="G42">
        <v>20.49</v>
      </c>
      <c r="H42">
        <v>8</v>
      </c>
      <c r="I42">
        <v>2</v>
      </c>
      <c r="J42">
        <v>5</v>
      </c>
      <c r="K42">
        <v>6</v>
      </c>
      <c r="L42" t="s">
        <v>39</v>
      </c>
      <c r="M42" t="s">
        <v>157</v>
      </c>
      <c r="N42" t="s">
        <v>6</v>
      </c>
      <c r="O42" t="s">
        <v>78</v>
      </c>
      <c r="P42" t="s">
        <v>8</v>
      </c>
      <c r="Q42" t="s">
        <v>18</v>
      </c>
    </row>
    <row r="43" spans="1:17" x14ac:dyDescent="0.3">
      <c r="A43" t="s">
        <v>581</v>
      </c>
      <c r="B43" t="s">
        <v>627</v>
      </c>
      <c r="C43" t="s">
        <v>81</v>
      </c>
      <c r="D43">
        <v>2003</v>
      </c>
      <c r="E43">
        <v>7582</v>
      </c>
      <c r="F43">
        <v>356.58</v>
      </c>
      <c r="G43">
        <v>4.67</v>
      </c>
      <c r="H43">
        <v>7</v>
      </c>
      <c r="I43">
        <v>3</v>
      </c>
      <c r="J43">
        <v>8</v>
      </c>
      <c r="K43">
        <v>6</v>
      </c>
      <c r="L43" t="s">
        <v>103</v>
      </c>
      <c r="M43" t="s">
        <v>88</v>
      </c>
      <c r="N43" t="s">
        <v>145</v>
      </c>
      <c r="O43" t="s">
        <v>90</v>
      </c>
      <c r="P43" t="s">
        <v>42</v>
      </c>
      <c r="Q43" t="s">
        <v>18</v>
      </c>
    </row>
    <row r="44" spans="1:17" x14ac:dyDescent="0.3">
      <c r="A44" t="s">
        <v>160</v>
      </c>
      <c r="B44" t="s">
        <v>627</v>
      </c>
      <c r="C44" t="s">
        <v>3</v>
      </c>
      <c r="D44">
        <v>2008</v>
      </c>
      <c r="E44">
        <v>4045</v>
      </c>
      <c r="F44">
        <v>377.73</v>
      </c>
      <c r="G44">
        <v>9.6300000000000008</v>
      </c>
      <c r="H44">
        <v>8</v>
      </c>
      <c r="I44">
        <v>6</v>
      </c>
      <c r="J44">
        <v>8</v>
      </c>
      <c r="K44">
        <v>5</v>
      </c>
      <c r="L44" t="s">
        <v>161</v>
      </c>
      <c r="M44" t="s">
        <v>77</v>
      </c>
      <c r="N44" t="s">
        <v>40</v>
      </c>
      <c r="O44" t="s">
        <v>78</v>
      </c>
      <c r="P44" t="s">
        <v>29</v>
      </c>
      <c r="Q44" t="s">
        <v>18</v>
      </c>
    </row>
    <row r="45" spans="1:17" x14ac:dyDescent="0.3">
      <c r="A45" t="s">
        <v>162</v>
      </c>
      <c r="B45" t="s">
        <v>628</v>
      </c>
      <c r="C45" t="s">
        <v>3</v>
      </c>
      <c r="D45">
        <v>1997</v>
      </c>
      <c r="E45">
        <v>9817</v>
      </c>
      <c r="F45">
        <v>353.58</v>
      </c>
      <c r="G45">
        <v>11.66</v>
      </c>
      <c r="H45">
        <v>6</v>
      </c>
      <c r="I45">
        <v>6</v>
      </c>
      <c r="J45">
        <v>3</v>
      </c>
      <c r="K45">
        <v>6</v>
      </c>
      <c r="L45" t="s">
        <v>103</v>
      </c>
      <c r="M45" t="s">
        <v>77</v>
      </c>
      <c r="N45" t="s">
        <v>116</v>
      </c>
      <c r="O45" t="s">
        <v>21</v>
      </c>
      <c r="P45" t="s">
        <v>17</v>
      </c>
      <c r="Q45" t="s">
        <v>96</v>
      </c>
    </row>
    <row r="46" spans="1:17" x14ac:dyDescent="0.3">
      <c r="A46" t="s">
        <v>164</v>
      </c>
      <c r="B46" t="s">
        <v>629</v>
      </c>
      <c r="C46" t="s">
        <v>81</v>
      </c>
      <c r="D46">
        <v>2008</v>
      </c>
      <c r="E46">
        <v>332</v>
      </c>
      <c r="F46">
        <v>55.6</v>
      </c>
      <c r="G46">
        <v>24.9</v>
      </c>
      <c r="H46">
        <v>5</v>
      </c>
      <c r="I46">
        <v>5</v>
      </c>
      <c r="J46">
        <v>8</v>
      </c>
      <c r="K46">
        <v>3</v>
      </c>
      <c r="L46" t="s">
        <v>103</v>
      </c>
      <c r="M46" t="s">
        <v>139</v>
      </c>
      <c r="N46" t="s">
        <v>145</v>
      </c>
      <c r="O46" t="s">
        <v>166</v>
      </c>
      <c r="P46" t="s">
        <v>17</v>
      </c>
      <c r="Q46" t="s">
        <v>18</v>
      </c>
    </row>
    <row r="47" spans="1:17" x14ac:dyDescent="0.3">
      <c r="A47" t="s">
        <v>167</v>
      </c>
      <c r="B47" t="s">
        <v>630</v>
      </c>
      <c r="C47" t="s">
        <v>3</v>
      </c>
      <c r="D47">
        <v>2009</v>
      </c>
      <c r="E47">
        <v>4488</v>
      </c>
      <c r="F47">
        <v>160.25</v>
      </c>
      <c r="G47">
        <v>17.16</v>
      </c>
      <c r="H47">
        <v>5</v>
      </c>
      <c r="I47">
        <v>2</v>
      </c>
      <c r="J47">
        <v>8</v>
      </c>
      <c r="K47">
        <v>3</v>
      </c>
      <c r="L47" t="s">
        <v>161</v>
      </c>
      <c r="M47" t="s">
        <v>77</v>
      </c>
      <c r="N47" t="s">
        <v>116</v>
      </c>
      <c r="O47" t="s">
        <v>41</v>
      </c>
      <c r="P47" t="s">
        <v>29</v>
      </c>
      <c r="Q47" t="s">
        <v>18</v>
      </c>
    </row>
    <row r="48" spans="1:17" x14ac:dyDescent="0.3">
      <c r="A48" t="s">
        <v>169</v>
      </c>
      <c r="B48" t="s">
        <v>631</v>
      </c>
      <c r="C48" t="s">
        <v>48</v>
      </c>
      <c r="D48">
        <v>2018</v>
      </c>
      <c r="E48">
        <v>4686</v>
      </c>
      <c r="F48">
        <v>490.45</v>
      </c>
      <c r="G48">
        <v>-3.63</v>
      </c>
      <c r="H48">
        <v>5</v>
      </c>
      <c r="I48">
        <v>4</v>
      </c>
      <c r="J48">
        <v>4</v>
      </c>
      <c r="K48">
        <v>4</v>
      </c>
      <c r="L48" t="s">
        <v>60</v>
      </c>
      <c r="M48" t="s">
        <v>99</v>
      </c>
      <c r="N48" t="s">
        <v>61</v>
      </c>
      <c r="O48" t="s">
        <v>100</v>
      </c>
      <c r="P48" t="s">
        <v>42</v>
      </c>
      <c r="Q48" t="s">
        <v>36</v>
      </c>
    </row>
    <row r="49" spans="1:17" x14ac:dyDescent="0.3">
      <c r="A49" t="s">
        <v>171</v>
      </c>
      <c r="B49" t="s">
        <v>632</v>
      </c>
      <c r="C49" t="s">
        <v>3</v>
      </c>
      <c r="D49">
        <v>1988</v>
      </c>
      <c r="E49">
        <v>8092</v>
      </c>
      <c r="F49">
        <v>60.27</v>
      </c>
      <c r="G49">
        <v>2.57</v>
      </c>
      <c r="H49">
        <v>4</v>
      </c>
      <c r="I49">
        <v>6</v>
      </c>
      <c r="J49">
        <v>5</v>
      </c>
      <c r="K49">
        <v>5</v>
      </c>
      <c r="L49" t="s">
        <v>39</v>
      </c>
      <c r="M49" t="s">
        <v>5</v>
      </c>
      <c r="N49" t="s">
        <v>173</v>
      </c>
      <c r="O49" t="s">
        <v>41</v>
      </c>
      <c r="P49" t="s">
        <v>8</v>
      </c>
      <c r="Q49" t="s">
        <v>9</v>
      </c>
    </row>
    <row r="50" spans="1:17" x14ac:dyDescent="0.3">
      <c r="A50" t="s">
        <v>174</v>
      </c>
      <c r="B50" t="s">
        <v>633</v>
      </c>
      <c r="C50" t="s">
        <v>12</v>
      </c>
      <c r="D50">
        <v>2005</v>
      </c>
      <c r="E50">
        <v>8106</v>
      </c>
      <c r="F50">
        <v>46.3</v>
      </c>
      <c r="G50">
        <v>11.74</v>
      </c>
      <c r="H50">
        <v>9</v>
      </c>
      <c r="I50">
        <v>7</v>
      </c>
      <c r="J50">
        <v>3</v>
      </c>
      <c r="K50">
        <v>3</v>
      </c>
      <c r="L50" t="s">
        <v>95</v>
      </c>
      <c r="M50" t="s">
        <v>14</v>
      </c>
      <c r="N50" t="s">
        <v>15</v>
      </c>
      <c r="O50" t="s">
        <v>16</v>
      </c>
      <c r="P50" t="s">
        <v>8</v>
      </c>
      <c r="Q50" t="s">
        <v>36</v>
      </c>
    </row>
    <row r="51" spans="1:17" x14ac:dyDescent="0.3">
      <c r="A51" t="s">
        <v>176</v>
      </c>
      <c r="B51" t="s">
        <v>634</v>
      </c>
      <c r="C51" t="s">
        <v>48</v>
      </c>
      <c r="D51">
        <v>2019</v>
      </c>
      <c r="E51">
        <v>3747</v>
      </c>
      <c r="F51">
        <v>390.09</v>
      </c>
      <c r="G51">
        <v>23.43</v>
      </c>
      <c r="H51">
        <v>7</v>
      </c>
      <c r="I51">
        <v>5</v>
      </c>
      <c r="J51">
        <v>6</v>
      </c>
      <c r="K51">
        <v>4</v>
      </c>
      <c r="L51" t="s">
        <v>51</v>
      </c>
      <c r="M51" t="s">
        <v>154</v>
      </c>
      <c r="N51" t="s">
        <v>51</v>
      </c>
      <c r="O51" t="s">
        <v>106</v>
      </c>
      <c r="P51" t="s">
        <v>8</v>
      </c>
      <c r="Q51" t="s">
        <v>18</v>
      </c>
    </row>
    <row r="52" spans="1:17" x14ac:dyDescent="0.3">
      <c r="A52" t="s">
        <v>178</v>
      </c>
      <c r="B52" t="s">
        <v>635</v>
      </c>
      <c r="C52" t="s">
        <v>3</v>
      </c>
      <c r="D52">
        <v>1985</v>
      </c>
      <c r="E52">
        <v>2623</v>
      </c>
      <c r="F52">
        <v>127.53</v>
      </c>
      <c r="G52">
        <v>1.94</v>
      </c>
      <c r="H52">
        <v>8</v>
      </c>
      <c r="I52">
        <v>2</v>
      </c>
      <c r="J52">
        <v>4</v>
      </c>
      <c r="K52">
        <v>2</v>
      </c>
      <c r="L52" t="s">
        <v>39</v>
      </c>
      <c r="M52" t="s">
        <v>5</v>
      </c>
      <c r="N52" t="s">
        <v>40</v>
      </c>
      <c r="O52" t="s">
        <v>78</v>
      </c>
      <c r="P52" t="s">
        <v>8</v>
      </c>
      <c r="Q52" t="s">
        <v>18</v>
      </c>
    </row>
    <row r="53" spans="1:17" x14ac:dyDescent="0.3">
      <c r="A53" t="s">
        <v>180</v>
      </c>
      <c r="B53" t="s">
        <v>636</v>
      </c>
      <c r="C53" t="s">
        <v>12</v>
      </c>
      <c r="D53">
        <v>1994</v>
      </c>
      <c r="E53">
        <v>4384</v>
      </c>
      <c r="F53">
        <v>396.04</v>
      </c>
      <c r="G53">
        <v>19.8</v>
      </c>
      <c r="H53">
        <v>9</v>
      </c>
      <c r="I53">
        <v>6</v>
      </c>
      <c r="J53">
        <v>8</v>
      </c>
      <c r="K53">
        <v>3</v>
      </c>
      <c r="L53" t="s">
        <v>13</v>
      </c>
      <c r="M53" t="s">
        <v>152</v>
      </c>
      <c r="N53" t="s">
        <v>56</v>
      </c>
      <c r="O53" t="s">
        <v>16</v>
      </c>
      <c r="P53" t="s">
        <v>42</v>
      </c>
      <c r="Q53" t="s">
        <v>18</v>
      </c>
    </row>
    <row r="54" spans="1:17" x14ac:dyDescent="0.3">
      <c r="A54" t="s">
        <v>182</v>
      </c>
      <c r="B54" t="s">
        <v>637</v>
      </c>
      <c r="C54" t="s">
        <v>24</v>
      </c>
      <c r="D54">
        <v>1999</v>
      </c>
      <c r="E54">
        <v>9799</v>
      </c>
      <c r="F54">
        <v>376.99</v>
      </c>
      <c r="G54">
        <v>8.1300000000000008</v>
      </c>
      <c r="H54">
        <v>8</v>
      </c>
      <c r="I54">
        <v>4</v>
      </c>
      <c r="J54">
        <v>6</v>
      </c>
      <c r="K54">
        <v>2</v>
      </c>
      <c r="L54" t="s">
        <v>25</v>
      </c>
      <c r="M54" t="s">
        <v>26</v>
      </c>
      <c r="N54" t="s">
        <v>27</v>
      </c>
      <c r="O54" t="s">
        <v>28</v>
      </c>
      <c r="P54" t="s">
        <v>17</v>
      </c>
      <c r="Q54" t="s">
        <v>18</v>
      </c>
    </row>
    <row r="55" spans="1:17" x14ac:dyDescent="0.3">
      <c r="A55" t="s">
        <v>184</v>
      </c>
      <c r="B55" t="s">
        <v>638</v>
      </c>
      <c r="C55" t="s">
        <v>3</v>
      </c>
      <c r="D55">
        <v>2018</v>
      </c>
      <c r="E55">
        <v>4152</v>
      </c>
      <c r="F55">
        <v>22.67</v>
      </c>
      <c r="G55">
        <v>10.57</v>
      </c>
      <c r="H55">
        <v>5</v>
      </c>
      <c r="I55">
        <v>7</v>
      </c>
      <c r="J55">
        <v>7</v>
      </c>
      <c r="K55">
        <v>6</v>
      </c>
      <c r="L55" t="s">
        <v>4</v>
      </c>
      <c r="M55" t="s">
        <v>157</v>
      </c>
      <c r="N55" t="s">
        <v>6</v>
      </c>
      <c r="O55" t="s">
        <v>41</v>
      </c>
      <c r="P55" t="s">
        <v>17</v>
      </c>
      <c r="Q55" t="s">
        <v>9</v>
      </c>
    </row>
    <row r="56" spans="1:17" x14ac:dyDescent="0.3">
      <c r="A56" t="s">
        <v>186</v>
      </c>
      <c r="B56" t="s">
        <v>639</v>
      </c>
      <c r="C56" t="s">
        <v>24</v>
      </c>
      <c r="D56">
        <v>2017</v>
      </c>
      <c r="E56">
        <v>7191</v>
      </c>
      <c r="F56">
        <v>321.04000000000002</v>
      </c>
      <c r="G56">
        <v>4.8899999999999997</v>
      </c>
      <c r="H56">
        <v>7</v>
      </c>
      <c r="I56">
        <v>2</v>
      </c>
      <c r="J56">
        <v>6</v>
      </c>
      <c r="K56">
        <v>4</v>
      </c>
      <c r="L56" t="s">
        <v>25</v>
      </c>
      <c r="M56" t="s">
        <v>26</v>
      </c>
      <c r="N56" t="s">
        <v>67</v>
      </c>
      <c r="O56" t="s">
        <v>16</v>
      </c>
      <c r="P56" t="s">
        <v>29</v>
      </c>
      <c r="Q56" t="s">
        <v>18</v>
      </c>
    </row>
    <row r="57" spans="1:17" x14ac:dyDescent="0.3">
      <c r="A57" t="s">
        <v>188</v>
      </c>
      <c r="B57" t="s">
        <v>640</v>
      </c>
      <c r="C57" t="s">
        <v>81</v>
      </c>
      <c r="D57">
        <v>2015</v>
      </c>
      <c r="E57">
        <v>651</v>
      </c>
      <c r="F57">
        <v>232.86</v>
      </c>
      <c r="G57">
        <v>0.63</v>
      </c>
      <c r="H57">
        <v>6</v>
      </c>
      <c r="I57">
        <v>4</v>
      </c>
      <c r="J57">
        <v>5</v>
      </c>
      <c r="K57">
        <v>2</v>
      </c>
      <c r="L57" t="s">
        <v>190</v>
      </c>
      <c r="M57" t="s">
        <v>83</v>
      </c>
      <c r="N57" t="s">
        <v>145</v>
      </c>
      <c r="O57" t="s">
        <v>90</v>
      </c>
      <c r="P57" t="s">
        <v>8</v>
      </c>
      <c r="Q57" t="s">
        <v>18</v>
      </c>
    </row>
    <row r="58" spans="1:17" x14ac:dyDescent="0.3">
      <c r="A58" t="s">
        <v>191</v>
      </c>
      <c r="B58" t="s">
        <v>594</v>
      </c>
      <c r="C58" t="s">
        <v>81</v>
      </c>
      <c r="D58">
        <v>2020</v>
      </c>
      <c r="E58">
        <v>7292</v>
      </c>
      <c r="F58">
        <v>382.4</v>
      </c>
      <c r="G58">
        <v>24.19</v>
      </c>
      <c r="H58">
        <v>5</v>
      </c>
      <c r="I58">
        <v>4</v>
      </c>
      <c r="J58">
        <v>7</v>
      </c>
      <c r="K58">
        <v>3</v>
      </c>
      <c r="L58" t="s">
        <v>103</v>
      </c>
      <c r="M58" t="s">
        <v>88</v>
      </c>
      <c r="N58" t="s">
        <v>145</v>
      </c>
      <c r="O58" t="s">
        <v>84</v>
      </c>
      <c r="P58" t="s">
        <v>8</v>
      </c>
      <c r="Q58" t="s">
        <v>18</v>
      </c>
    </row>
    <row r="59" spans="1:17" x14ac:dyDescent="0.3">
      <c r="A59" t="s">
        <v>192</v>
      </c>
      <c r="B59" t="s">
        <v>601</v>
      </c>
      <c r="C59" t="s">
        <v>3</v>
      </c>
      <c r="D59">
        <v>2015</v>
      </c>
      <c r="E59">
        <v>274</v>
      </c>
      <c r="F59">
        <v>280.60000000000002</v>
      </c>
      <c r="G59">
        <v>7.46</v>
      </c>
      <c r="H59">
        <v>4</v>
      </c>
      <c r="I59">
        <v>3</v>
      </c>
      <c r="J59">
        <v>3</v>
      </c>
      <c r="K59">
        <v>5</v>
      </c>
      <c r="L59" t="s">
        <v>4</v>
      </c>
      <c r="M59" t="s">
        <v>115</v>
      </c>
      <c r="N59" t="s">
        <v>40</v>
      </c>
      <c r="O59" t="s">
        <v>78</v>
      </c>
      <c r="P59" t="s">
        <v>42</v>
      </c>
      <c r="Q59" t="s">
        <v>9</v>
      </c>
    </row>
    <row r="60" spans="1:17" x14ac:dyDescent="0.3">
      <c r="A60" t="s">
        <v>193</v>
      </c>
      <c r="B60" t="s">
        <v>641</v>
      </c>
      <c r="C60" t="s">
        <v>24</v>
      </c>
      <c r="D60">
        <v>2009</v>
      </c>
      <c r="E60">
        <v>9081</v>
      </c>
      <c r="F60">
        <v>80.87</v>
      </c>
      <c r="G60">
        <v>23.03</v>
      </c>
      <c r="H60">
        <v>5</v>
      </c>
      <c r="I60">
        <v>6</v>
      </c>
      <c r="J60">
        <v>7</v>
      </c>
      <c r="K60">
        <v>7</v>
      </c>
      <c r="L60" t="s">
        <v>141</v>
      </c>
      <c r="M60" t="s">
        <v>195</v>
      </c>
      <c r="N60" t="s">
        <v>67</v>
      </c>
      <c r="O60" t="s">
        <v>68</v>
      </c>
      <c r="P60" t="s">
        <v>42</v>
      </c>
      <c r="Q60" t="s">
        <v>9</v>
      </c>
    </row>
    <row r="61" spans="1:17" x14ac:dyDescent="0.3">
      <c r="A61" t="s">
        <v>196</v>
      </c>
      <c r="B61" t="s">
        <v>642</v>
      </c>
      <c r="C61" t="s">
        <v>12</v>
      </c>
      <c r="D61">
        <v>1998</v>
      </c>
      <c r="E61">
        <v>4941</v>
      </c>
      <c r="F61">
        <v>420.36</v>
      </c>
      <c r="G61">
        <v>8.66</v>
      </c>
      <c r="H61">
        <v>8</v>
      </c>
      <c r="I61">
        <v>7</v>
      </c>
      <c r="J61">
        <v>6</v>
      </c>
      <c r="K61">
        <v>3</v>
      </c>
      <c r="L61" t="s">
        <v>13</v>
      </c>
      <c r="M61" t="s">
        <v>73</v>
      </c>
      <c r="N61" t="s">
        <v>34</v>
      </c>
      <c r="O61" t="s">
        <v>57</v>
      </c>
      <c r="P61" t="s">
        <v>17</v>
      </c>
      <c r="Q61" t="s">
        <v>18</v>
      </c>
    </row>
    <row r="62" spans="1:17" x14ac:dyDescent="0.3">
      <c r="A62" t="s">
        <v>198</v>
      </c>
      <c r="B62" t="s">
        <v>643</v>
      </c>
      <c r="C62" t="s">
        <v>24</v>
      </c>
      <c r="D62">
        <v>2016</v>
      </c>
      <c r="E62">
        <v>6324</v>
      </c>
      <c r="F62">
        <v>124.45</v>
      </c>
      <c r="G62">
        <v>23.94</v>
      </c>
      <c r="H62">
        <v>7</v>
      </c>
      <c r="I62">
        <v>2</v>
      </c>
      <c r="J62">
        <v>5</v>
      </c>
      <c r="K62">
        <v>7</v>
      </c>
      <c r="L62" t="s">
        <v>25</v>
      </c>
      <c r="M62" t="s">
        <v>131</v>
      </c>
      <c r="N62" t="s">
        <v>27</v>
      </c>
      <c r="O62" t="s">
        <v>200</v>
      </c>
      <c r="P62" t="s">
        <v>17</v>
      </c>
      <c r="Q62" t="s">
        <v>36</v>
      </c>
    </row>
    <row r="63" spans="1:17" x14ac:dyDescent="0.3">
      <c r="A63" t="s">
        <v>201</v>
      </c>
      <c r="B63" t="s">
        <v>644</v>
      </c>
      <c r="C63" t="s">
        <v>48</v>
      </c>
      <c r="D63">
        <v>2001</v>
      </c>
      <c r="E63">
        <v>1694</v>
      </c>
      <c r="F63">
        <v>438.35</v>
      </c>
      <c r="G63">
        <v>9.08</v>
      </c>
      <c r="H63">
        <v>7</v>
      </c>
      <c r="I63">
        <v>2</v>
      </c>
      <c r="J63">
        <v>7</v>
      </c>
      <c r="K63">
        <v>5</v>
      </c>
      <c r="L63" t="s">
        <v>49</v>
      </c>
      <c r="M63" t="s">
        <v>14</v>
      </c>
      <c r="N63" t="s">
        <v>89</v>
      </c>
      <c r="O63" t="s">
        <v>100</v>
      </c>
      <c r="P63" t="s">
        <v>8</v>
      </c>
      <c r="Q63" t="s">
        <v>18</v>
      </c>
    </row>
    <row r="64" spans="1:17" x14ac:dyDescent="0.3">
      <c r="A64" t="s">
        <v>203</v>
      </c>
      <c r="B64" t="s">
        <v>645</v>
      </c>
      <c r="C64" t="s">
        <v>48</v>
      </c>
      <c r="D64">
        <v>2005</v>
      </c>
      <c r="E64">
        <v>1365</v>
      </c>
      <c r="F64">
        <v>427.36</v>
      </c>
      <c r="G64">
        <v>24.92</v>
      </c>
      <c r="H64">
        <v>9</v>
      </c>
      <c r="I64">
        <v>6</v>
      </c>
      <c r="J64">
        <v>6</v>
      </c>
      <c r="K64">
        <v>4</v>
      </c>
      <c r="L64" t="s">
        <v>121</v>
      </c>
      <c r="M64" t="s">
        <v>50</v>
      </c>
      <c r="N64" t="s">
        <v>61</v>
      </c>
      <c r="O64" t="s">
        <v>100</v>
      </c>
      <c r="P64" t="s">
        <v>42</v>
      </c>
      <c r="Q64" t="s">
        <v>18</v>
      </c>
    </row>
    <row r="65" spans="1:17" x14ac:dyDescent="0.3">
      <c r="A65" t="s">
        <v>205</v>
      </c>
      <c r="B65" t="s">
        <v>646</v>
      </c>
      <c r="C65" t="s">
        <v>12</v>
      </c>
      <c r="D65">
        <v>2020</v>
      </c>
      <c r="E65">
        <v>1696</v>
      </c>
      <c r="F65">
        <v>227.4</v>
      </c>
      <c r="G65">
        <v>7.92</v>
      </c>
      <c r="H65">
        <v>9</v>
      </c>
      <c r="I65">
        <v>4</v>
      </c>
      <c r="J65">
        <v>3</v>
      </c>
      <c r="K65">
        <v>2</v>
      </c>
      <c r="L65" t="s">
        <v>32</v>
      </c>
      <c r="M65" t="s">
        <v>152</v>
      </c>
      <c r="N65" t="s">
        <v>34</v>
      </c>
      <c r="O65" t="s">
        <v>57</v>
      </c>
      <c r="P65" t="s">
        <v>42</v>
      </c>
      <c r="Q65" t="s">
        <v>18</v>
      </c>
    </row>
    <row r="66" spans="1:17" x14ac:dyDescent="0.3">
      <c r="A66" t="s">
        <v>207</v>
      </c>
      <c r="B66" t="s">
        <v>647</v>
      </c>
      <c r="C66" t="s">
        <v>81</v>
      </c>
      <c r="D66">
        <v>2016</v>
      </c>
      <c r="E66">
        <v>3000</v>
      </c>
      <c r="F66">
        <v>93.29</v>
      </c>
      <c r="G66">
        <v>14.14</v>
      </c>
      <c r="H66">
        <v>4</v>
      </c>
      <c r="I66">
        <v>6</v>
      </c>
      <c r="J66">
        <v>6</v>
      </c>
      <c r="K66">
        <v>6</v>
      </c>
      <c r="L66" t="s">
        <v>144</v>
      </c>
      <c r="M66" t="s">
        <v>88</v>
      </c>
      <c r="N66" t="s">
        <v>209</v>
      </c>
      <c r="O66" t="s">
        <v>111</v>
      </c>
      <c r="P66" t="s">
        <v>17</v>
      </c>
      <c r="Q66" t="s">
        <v>9</v>
      </c>
    </row>
    <row r="67" spans="1:17" x14ac:dyDescent="0.3">
      <c r="A67" t="s">
        <v>210</v>
      </c>
      <c r="B67" t="s">
        <v>648</v>
      </c>
      <c r="C67" t="s">
        <v>12</v>
      </c>
      <c r="D67">
        <v>2009</v>
      </c>
      <c r="E67">
        <v>4762</v>
      </c>
      <c r="F67">
        <v>342.03</v>
      </c>
      <c r="G67">
        <v>20.36</v>
      </c>
      <c r="H67">
        <v>5</v>
      </c>
      <c r="I67">
        <v>2</v>
      </c>
      <c r="J67">
        <v>6</v>
      </c>
      <c r="K67">
        <v>4</v>
      </c>
      <c r="L67" t="s">
        <v>55</v>
      </c>
      <c r="M67" t="s">
        <v>14</v>
      </c>
      <c r="N67" t="s">
        <v>212</v>
      </c>
      <c r="O67" t="s">
        <v>57</v>
      </c>
      <c r="P67" t="s">
        <v>17</v>
      </c>
      <c r="Q67" t="s">
        <v>18</v>
      </c>
    </row>
    <row r="68" spans="1:17" x14ac:dyDescent="0.3">
      <c r="A68" t="s">
        <v>213</v>
      </c>
      <c r="B68" t="s">
        <v>649</v>
      </c>
      <c r="C68" t="s">
        <v>81</v>
      </c>
      <c r="D68">
        <v>1986</v>
      </c>
      <c r="E68">
        <v>3936</v>
      </c>
      <c r="F68">
        <v>196.87</v>
      </c>
      <c r="G68">
        <v>11.98</v>
      </c>
      <c r="H68">
        <v>6</v>
      </c>
      <c r="I68">
        <v>6</v>
      </c>
      <c r="J68">
        <v>5</v>
      </c>
      <c r="K68">
        <v>7</v>
      </c>
      <c r="L68" t="s">
        <v>103</v>
      </c>
      <c r="M68" t="s">
        <v>83</v>
      </c>
      <c r="N68" t="s">
        <v>145</v>
      </c>
      <c r="O68" t="s">
        <v>166</v>
      </c>
      <c r="P68" t="s">
        <v>8</v>
      </c>
      <c r="Q68" t="s">
        <v>9</v>
      </c>
    </row>
    <row r="69" spans="1:17" x14ac:dyDescent="0.3">
      <c r="A69" t="s">
        <v>215</v>
      </c>
      <c r="B69" t="s">
        <v>650</v>
      </c>
      <c r="C69" t="s">
        <v>81</v>
      </c>
      <c r="D69">
        <v>1998</v>
      </c>
      <c r="E69">
        <v>3820</v>
      </c>
      <c r="F69">
        <v>307.45999999999998</v>
      </c>
      <c r="G69">
        <v>4.2699999999999996</v>
      </c>
      <c r="H69">
        <v>6</v>
      </c>
      <c r="I69">
        <v>3</v>
      </c>
      <c r="J69">
        <v>8</v>
      </c>
      <c r="K69">
        <v>3</v>
      </c>
      <c r="L69" t="s">
        <v>82</v>
      </c>
      <c r="M69" t="s">
        <v>139</v>
      </c>
      <c r="N69" t="s">
        <v>209</v>
      </c>
      <c r="O69" t="s">
        <v>84</v>
      </c>
      <c r="P69" t="s">
        <v>8</v>
      </c>
      <c r="Q69" t="s">
        <v>18</v>
      </c>
    </row>
    <row r="70" spans="1:17" x14ac:dyDescent="0.3">
      <c r="A70" t="s">
        <v>217</v>
      </c>
      <c r="B70" t="s">
        <v>619</v>
      </c>
      <c r="C70" t="s">
        <v>48</v>
      </c>
      <c r="D70">
        <v>2003</v>
      </c>
      <c r="E70">
        <v>2203</v>
      </c>
      <c r="F70">
        <v>54.17</v>
      </c>
      <c r="G70">
        <v>19.91</v>
      </c>
      <c r="H70">
        <v>6</v>
      </c>
      <c r="I70">
        <v>4</v>
      </c>
      <c r="J70">
        <v>8</v>
      </c>
      <c r="K70">
        <v>5</v>
      </c>
      <c r="L70" t="s">
        <v>60</v>
      </c>
      <c r="M70" t="s">
        <v>14</v>
      </c>
      <c r="N70" t="s">
        <v>218</v>
      </c>
      <c r="O70" t="s">
        <v>52</v>
      </c>
      <c r="P70" t="s">
        <v>42</v>
      </c>
      <c r="Q70" t="s">
        <v>18</v>
      </c>
    </row>
    <row r="71" spans="1:17" x14ac:dyDescent="0.3">
      <c r="A71" t="s">
        <v>219</v>
      </c>
      <c r="B71" t="s">
        <v>651</v>
      </c>
      <c r="C71" t="s">
        <v>3</v>
      </c>
      <c r="D71">
        <v>2001</v>
      </c>
      <c r="E71">
        <v>1936</v>
      </c>
      <c r="F71">
        <v>239.48</v>
      </c>
      <c r="G71">
        <v>2.93</v>
      </c>
      <c r="H71">
        <v>4</v>
      </c>
      <c r="I71">
        <v>3</v>
      </c>
      <c r="J71">
        <v>4</v>
      </c>
      <c r="K71">
        <v>7</v>
      </c>
      <c r="L71" t="s">
        <v>39</v>
      </c>
      <c r="M71" t="s">
        <v>157</v>
      </c>
      <c r="N71" t="s">
        <v>6</v>
      </c>
      <c r="O71" t="s">
        <v>21</v>
      </c>
      <c r="P71" t="s">
        <v>8</v>
      </c>
      <c r="Q71" t="s">
        <v>9</v>
      </c>
    </row>
    <row r="72" spans="1:17" x14ac:dyDescent="0.3">
      <c r="A72" t="s">
        <v>221</v>
      </c>
      <c r="B72" t="s">
        <v>652</v>
      </c>
      <c r="C72" t="s">
        <v>3</v>
      </c>
      <c r="D72">
        <v>1996</v>
      </c>
      <c r="E72">
        <v>9627</v>
      </c>
      <c r="F72">
        <v>196.7</v>
      </c>
      <c r="G72">
        <v>14.43</v>
      </c>
      <c r="H72">
        <v>9</v>
      </c>
      <c r="I72">
        <v>4</v>
      </c>
      <c r="J72">
        <v>3</v>
      </c>
      <c r="K72">
        <v>7</v>
      </c>
      <c r="L72" t="s">
        <v>103</v>
      </c>
      <c r="M72" t="s">
        <v>5</v>
      </c>
      <c r="N72" t="s">
        <v>6</v>
      </c>
      <c r="O72" t="s">
        <v>78</v>
      </c>
      <c r="P72" t="s">
        <v>29</v>
      </c>
      <c r="Q72" t="s">
        <v>36</v>
      </c>
    </row>
    <row r="73" spans="1:17" x14ac:dyDescent="0.3">
      <c r="A73" t="s">
        <v>223</v>
      </c>
      <c r="B73" t="s">
        <v>653</v>
      </c>
      <c r="C73" t="s">
        <v>81</v>
      </c>
      <c r="D73">
        <v>1987</v>
      </c>
      <c r="E73">
        <v>2340</v>
      </c>
      <c r="F73">
        <v>32.22</v>
      </c>
      <c r="G73">
        <v>6.13</v>
      </c>
      <c r="H73">
        <v>4</v>
      </c>
      <c r="I73">
        <v>4</v>
      </c>
      <c r="J73">
        <v>6</v>
      </c>
      <c r="K73">
        <v>2</v>
      </c>
      <c r="L73" t="s">
        <v>87</v>
      </c>
      <c r="M73" t="s">
        <v>104</v>
      </c>
      <c r="N73" t="s">
        <v>209</v>
      </c>
      <c r="O73" t="s">
        <v>90</v>
      </c>
      <c r="P73" t="s">
        <v>17</v>
      </c>
      <c r="Q73" t="s">
        <v>18</v>
      </c>
    </row>
    <row r="74" spans="1:17" x14ac:dyDescent="0.3">
      <c r="A74" t="s">
        <v>225</v>
      </c>
      <c r="B74" t="s">
        <v>649</v>
      </c>
      <c r="C74" t="s">
        <v>48</v>
      </c>
      <c r="D74">
        <v>1989</v>
      </c>
      <c r="E74">
        <v>6847</v>
      </c>
      <c r="F74">
        <v>330.91</v>
      </c>
      <c r="G74">
        <v>23.52</v>
      </c>
      <c r="H74">
        <v>7</v>
      </c>
      <c r="I74">
        <v>6</v>
      </c>
      <c r="J74">
        <v>6</v>
      </c>
      <c r="K74">
        <v>4</v>
      </c>
      <c r="L74" t="s">
        <v>49</v>
      </c>
      <c r="M74" t="s">
        <v>99</v>
      </c>
      <c r="N74" t="s">
        <v>218</v>
      </c>
      <c r="O74" t="s">
        <v>62</v>
      </c>
      <c r="P74" t="s">
        <v>17</v>
      </c>
      <c r="Q74" t="s">
        <v>36</v>
      </c>
    </row>
    <row r="75" spans="1:17" x14ac:dyDescent="0.3">
      <c r="A75" t="s">
        <v>226</v>
      </c>
      <c r="B75" t="s">
        <v>654</v>
      </c>
      <c r="C75" t="s">
        <v>3</v>
      </c>
      <c r="D75">
        <v>2014</v>
      </c>
      <c r="E75">
        <v>5926</v>
      </c>
      <c r="F75">
        <v>39.67</v>
      </c>
      <c r="G75">
        <v>2.31</v>
      </c>
      <c r="H75">
        <v>6</v>
      </c>
      <c r="I75">
        <v>3</v>
      </c>
      <c r="J75">
        <v>3</v>
      </c>
      <c r="K75">
        <v>5</v>
      </c>
      <c r="L75" t="s">
        <v>4</v>
      </c>
      <c r="M75" t="s">
        <v>115</v>
      </c>
      <c r="N75" t="s">
        <v>6</v>
      </c>
      <c r="O75" t="s">
        <v>7</v>
      </c>
      <c r="P75" t="s">
        <v>42</v>
      </c>
      <c r="Q75" t="s">
        <v>36</v>
      </c>
    </row>
    <row r="76" spans="1:17" x14ac:dyDescent="0.3">
      <c r="A76" t="s">
        <v>228</v>
      </c>
      <c r="B76" t="s">
        <v>608</v>
      </c>
      <c r="C76" t="s">
        <v>24</v>
      </c>
      <c r="D76">
        <v>1984</v>
      </c>
      <c r="E76">
        <v>9130</v>
      </c>
      <c r="F76">
        <v>111.51</v>
      </c>
      <c r="G76">
        <v>11.21</v>
      </c>
      <c r="H76">
        <v>5</v>
      </c>
      <c r="I76">
        <v>3</v>
      </c>
      <c r="J76">
        <v>5</v>
      </c>
      <c r="K76">
        <v>3</v>
      </c>
      <c r="L76" t="s">
        <v>65</v>
      </c>
      <c r="M76" t="s">
        <v>195</v>
      </c>
      <c r="N76" t="s">
        <v>67</v>
      </c>
      <c r="O76" t="s">
        <v>200</v>
      </c>
      <c r="P76" t="s">
        <v>29</v>
      </c>
      <c r="Q76" t="s">
        <v>18</v>
      </c>
    </row>
    <row r="77" spans="1:17" x14ac:dyDescent="0.3">
      <c r="A77" t="s">
        <v>229</v>
      </c>
      <c r="B77" t="s">
        <v>655</v>
      </c>
      <c r="C77" t="s">
        <v>12</v>
      </c>
      <c r="D77">
        <v>1988</v>
      </c>
      <c r="E77">
        <v>293</v>
      </c>
      <c r="F77">
        <v>185.54</v>
      </c>
      <c r="G77">
        <v>10.78</v>
      </c>
      <c r="H77">
        <v>5</v>
      </c>
      <c r="I77">
        <v>6</v>
      </c>
      <c r="J77">
        <v>5</v>
      </c>
      <c r="K77">
        <v>2</v>
      </c>
      <c r="L77" t="s">
        <v>95</v>
      </c>
      <c r="M77" t="s">
        <v>14</v>
      </c>
      <c r="N77" t="s">
        <v>15</v>
      </c>
      <c r="O77" t="s">
        <v>16</v>
      </c>
      <c r="P77" t="s">
        <v>17</v>
      </c>
      <c r="Q77" t="s">
        <v>36</v>
      </c>
    </row>
    <row r="78" spans="1:17" x14ac:dyDescent="0.3">
      <c r="A78" t="s">
        <v>231</v>
      </c>
      <c r="B78" t="s">
        <v>656</v>
      </c>
      <c r="C78" t="s">
        <v>81</v>
      </c>
      <c r="D78">
        <v>2003</v>
      </c>
      <c r="E78">
        <v>8458</v>
      </c>
      <c r="F78">
        <v>300.89999999999998</v>
      </c>
      <c r="G78">
        <v>24.96</v>
      </c>
      <c r="H78">
        <v>7</v>
      </c>
      <c r="I78">
        <v>6</v>
      </c>
      <c r="J78">
        <v>4</v>
      </c>
      <c r="K78">
        <v>6</v>
      </c>
      <c r="L78" t="s">
        <v>87</v>
      </c>
      <c r="M78" t="s">
        <v>139</v>
      </c>
      <c r="N78" t="s">
        <v>145</v>
      </c>
      <c r="O78" t="s">
        <v>84</v>
      </c>
      <c r="P78" t="s">
        <v>8</v>
      </c>
      <c r="Q78" t="s">
        <v>9</v>
      </c>
    </row>
    <row r="79" spans="1:17" x14ac:dyDescent="0.3">
      <c r="A79" t="s">
        <v>233</v>
      </c>
      <c r="B79" t="s">
        <v>657</v>
      </c>
      <c r="C79" t="s">
        <v>12</v>
      </c>
      <c r="D79">
        <v>2011</v>
      </c>
      <c r="E79">
        <v>7317</v>
      </c>
      <c r="F79">
        <v>46.01</v>
      </c>
      <c r="G79">
        <v>24.84</v>
      </c>
      <c r="H79">
        <v>4</v>
      </c>
      <c r="I79">
        <v>4</v>
      </c>
      <c r="J79">
        <v>7</v>
      </c>
      <c r="K79">
        <v>3</v>
      </c>
      <c r="L79" t="s">
        <v>235</v>
      </c>
      <c r="M79" t="s">
        <v>33</v>
      </c>
      <c r="N79" t="s">
        <v>34</v>
      </c>
      <c r="O79" t="s">
        <v>57</v>
      </c>
      <c r="P79" t="s">
        <v>17</v>
      </c>
      <c r="Q79" t="s">
        <v>18</v>
      </c>
    </row>
    <row r="80" spans="1:17" x14ac:dyDescent="0.3">
      <c r="A80" t="s">
        <v>236</v>
      </c>
      <c r="B80" t="s">
        <v>658</v>
      </c>
      <c r="C80" t="s">
        <v>81</v>
      </c>
      <c r="D80">
        <v>2012</v>
      </c>
      <c r="E80">
        <v>9969</v>
      </c>
      <c r="F80">
        <v>220.8</v>
      </c>
      <c r="G80">
        <v>7.41</v>
      </c>
      <c r="H80">
        <v>9</v>
      </c>
      <c r="I80">
        <v>2</v>
      </c>
      <c r="J80">
        <v>8</v>
      </c>
      <c r="K80">
        <v>7</v>
      </c>
      <c r="L80" t="s">
        <v>82</v>
      </c>
      <c r="M80" t="s">
        <v>104</v>
      </c>
      <c r="N80" t="s">
        <v>145</v>
      </c>
      <c r="O80" t="s">
        <v>90</v>
      </c>
      <c r="P80" t="s">
        <v>29</v>
      </c>
      <c r="Q80" t="s">
        <v>18</v>
      </c>
    </row>
    <row r="81" spans="1:17" x14ac:dyDescent="0.3">
      <c r="A81" t="s">
        <v>238</v>
      </c>
      <c r="B81" t="s">
        <v>659</v>
      </c>
      <c r="C81" t="s">
        <v>81</v>
      </c>
      <c r="D81">
        <v>1986</v>
      </c>
      <c r="E81">
        <v>5170</v>
      </c>
      <c r="F81">
        <v>219.11</v>
      </c>
      <c r="G81">
        <v>7.96</v>
      </c>
      <c r="H81">
        <v>9</v>
      </c>
      <c r="I81">
        <v>4</v>
      </c>
      <c r="J81">
        <v>5</v>
      </c>
      <c r="K81">
        <v>3</v>
      </c>
      <c r="L81" t="s">
        <v>190</v>
      </c>
      <c r="M81" t="s">
        <v>83</v>
      </c>
      <c r="N81" t="s">
        <v>82</v>
      </c>
      <c r="O81" t="s">
        <v>84</v>
      </c>
      <c r="P81" t="s">
        <v>8</v>
      </c>
      <c r="Q81" t="s">
        <v>18</v>
      </c>
    </row>
    <row r="82" spans="1:17" x14ac:dyDescent="0.3">
      <c r="A82" t="s">
        <v>240</v>
      </c>
      <c r="B82" t="s">
        <v>660</v>
      </c>
      <c r="C82" t="s">
        <v>48</v>
      </c>
      <c r="D82">
        <v>1983</v>
      </c>
      <c r="E82">
        <v>9658</v>
      </c>
      <c r="F82">
        <v>478.75</v>
      </c>
      <c r="G82">
        <v>13.01</v>
      </c>
      <c r="H82">
        <v>8</v>
      </c>
      <c r="I82">
        <v>4</v>
      </c>
      <c r="J82">
        <v>8</v>
      </c>
      <c r="K82">
        <v>2</v>
      </c>
      <c r="L82" t="s">
        <v>121</v>
      </c>
      <c r="M82" t="s">
        <v>99</v>
      </c>
      <c r="N82" t="s">
        <v>89</v>
      </c>
      <c r="O82" t="s">
        <v>106</v>
      </c>
      <c r="P82" t="s">
        <v>42</v>
      </c>
      <c r="Q82" t="s">
        <v>18</v>
      </c>
    </row>
    <row r="83" spans="1:17" x14ac:dyDescent="0.3">
      <c r="A83" t="s">
        <v>242</v>
      </c>
      <c r="B83" t="s">
        <v>661</v>
      </c>
      <c r="C83" t="s">
        <v>48</v>
      </c>
      <c r="D83">
        <v>2012</v>
      </c>
      <c r="E83">
        <v>3535</v>
      </c>
      <c r="F83">
        <v>85.82</v>
      </c>
      <c r="G83">
        <v>19.22</v>
      </c>
      <c r="H83">
        <v>7</v>
      </c>
      <c r="I83">
        <v>3</v>
      </c>
      <c r="J83">
        <v>3</v>
      </c>
      <c r="K83">
        <v>4</v>
      </c>
      <c r="L83" t="s">
        <v>51</v>
      </c>
      <c r="M83" t="s">
        <v>99</v>
      </c>
      <c r="N83" t="s">
        <v>61</v>
      </c>
      <c r="O83" t="s">
        <v>52</v>
      </c>
      <c r="P83" t="s">
        <v>29</v>
      </c>
      <c r="Q83" t="s">
        <v>36</v>
      </c>
    </row>
    <row r="84" spans="1:17" x14ac:dyDescent="0.3">
      <c r="A84" t="s">
        <v>244</v>
      </c>
      <c r="B84" t="s">
        <v>662</v>
      </c>
      <c r="C84" t="s">
        <v>48</v>
      </c>
      <c r="D84">
        <v>2015</v>
      </c>
      <c r="E84">
        <v>480</v>
      </c>
      <c r="F84">
        <v>308.41000000000003</v>
      </c>
      <c r="G84">
        <v>-4.82</v>
      </c>
      <c r="H84">
        <v>9</v>
      </c>
      <c r="I84">
        <v>7</v>
      </c>
      <c r="J84">
        <v>5</v>
      </c>
      <c r="K84">
        <v>2</v>
      </c>
      <c r="L84" t="s">
        <v>60</v>
      </c>
      <c r="M84" t="s">
        <v>99</v>
      </c>
      <c r="N84" t="s">
        <v>51</v>
      </c>
      <c r="O84" t="s">
        <v>52</v>
      </c>
      <c r="P84" t="s">
        <v>42</v>
      </c>
      <c r="Q84" t="s">
        <v>18</v>
      </c>
    </row>
    <row r="85" spans="1:17" x14ac:dyDescent="0.3">
      <c r="A85" t="s">
        <v>246</v>
      </c>
      <c r="B85" t="s">
        <v>663</v>
      </c>
      <c r="C85" t="s">
        <v>81</v>
      </c>
      <c r="D85">
        <v>1984</v>
      </c>
      <c r="E85">
        <v>2374</v>
      </c>
      <c r="F85">
        <v>373.07</v>
      </c>
      <c r="G85">
        <v>-0.28000000000000003</v>
      </c>
      <c r="H85">
        <v>4</v>
      </c>
      <c r="I85">
        <v>2</v>
      </c>
      <c r="J85">
        <v>8</v>
      </c>
      <c r="K85">
        <v>6</v>
      </c>
      <c r="L85" t="s">
        <v>144</v>
      </c>
      <c r="M85" t="s">
        <v>88</v>
      </c>
      <c r="N85" t="s">
        <v>145</v>
      </c>
      <c r="O85" t="s">
        <v>90</v>
      </c>
      <c r="P85" t="s">
        <v>42</v>
      </c>
      <c r="Q85" t="s">
        <v>18</v>
      </c>
    </row>
    <row r="86" spans="1:17" x14ac:dyDescent="0.3">
      <c r="A86" t="s">
        <v>248</v>
      </c>
      <c r="B86" t="s">
        <v>664</v>
      </c>
      <c r="C86" t="s">
        <v>48</v>
      </c>
      <c r="D86">
        <v>2018</v>
      </c>
      <c r="E86">
        <v>1441</v>
      </c>
      <c r="F86">
        <v>442.84</v>
      </c>
      <c r="G86">
        <v>13.21</v>
      </c>
      <c r="H86">
        <v>5</v>
      </c>
      <c r="I86">
        <v>3</v>
      </c>
      <c r="J86">
        <v>7</v>
      </c>
      <c r="K86">
        <v>2</v>
      </c>
      <c r="L86" t="s">
        <v>49</v>
      </c>
      <c r="M86" t="s">
        <v>99</v>
      </c>
      <c r="N86" t="s">
        <v>89</v>
      </c>
      <c r="O86" t="s">
        <v>62</v>
      </c>
      <c r="P86" t="s">
        <v>17</v>
      </c>
      <c r="Q86" t="s">
        <v>18</v>
      </c>
    </row>
    <row r="87" spans="1:17" x14ac:dyDescent="0.3">
      <c r="A87" t="s">
        <v>250</v>
      </c>
      <c r="B87" t="s">
        <v>653</v>
      </c>
      <c r="C87" t="s">
        <v>24</v>
      </c>
      <c r="D87">
        <v>2012</v>
      </c>
      <c r="E87">
        <v>1914</v>
      </c>
      <c r="F87">
        <v>179.13</v>
      </c>
      <c r="G87">
        <v>6.86</v>
      </c>
      <c r="H87">
        <v>4</v>
      </c>
      <c r="I87">
        <v>4</v>
      </c>
      <c r="J87">
        <v>8</v>
      </c>
      <c r="K87">
        <v>7</v>
      </c>
      <c r="L87" t="s">
        <v>65</v>
      </c>
      <c r="M87" t="s">
        <v>131</v>
      </c>
      <c r="N87" t="s">
        <v>67</v>
      </c>
      <c r="O87" t="s">
        <v>16</v>
      </c>
      <c r="P87" t="s">
        <v>29</v>
      </c>
      <c r="Q87" t="s">
        <v>36</v>
      </c>
    </row>
    <row r="88" spans="1:17" x14ac:dyDescent="0.3">
      <c r="A88" t="s">
        <v>251</v>
      </c>
      <c r="B88" t="s">
        <v>665</v>
      </c>
      <c r="C88" t="s">
        <v>24</v>
      </c>
      <c r="D88">
        <v>1999</v>
      </c>
      <c r="E88">
        <v>3510</v>
      </c>
      <c r="F88">
        <v>386</v>
      </c>
      <c r="G88">
        <v>6.41</v>
      </c>
      <c r="H88">
        <v>6</v>
      </c>
      <c r="I88">
        <v>4</v>
      </c>
      <c r="J88">
        <v>5</v>
      </c>
      <c r="K88">
        <v>2</v>
      </c>
      <c r="L88" t="s">
        <v>60</v>
      </c>
      <c r="M88" t="s">
        <v>131</v>
      </c>
      <c r="N88" t="s">
        <v>27</v>
      </c>
      <c r="O88" t="s">
        <v>200</v>
      </c>
      <c r="P88" t="s">
        <v>29</v>
      </c>
      <c r="Q88" t="s">
        <v>18</v>
      </c>
    </row>
    <row r="89" spans="1:17" x14ac:dyDescent="0.3">
      <c r="A89" t="s">
        <v>253</v>
      </c>
      <c r="B89" t="s">
        <v>666</v>
      </c>
      <c r="C89" t="s">
        <v>48</v>
      </c>
      <c r="D89">
        <v>2002</v>
      </c>
      <c r="E89">
        <v>1230</v>
      </c>
      <c r="F89">
        <v>204.56</v>
      </c>
      <c r="G89">
        <v>16.28</v>
      </c>
      <c r="H89">
        <v>9</v>
      </c>
      <c r="I89">
        <v>2</v>
      </c>
      <c r="J89">
        <v>6</v>
      </c>
      <c r="K89">
        <v>2</v>
      </c>
      <c r="L89" t="s">
        <v>121</v>
      </c>
      <c r="M89" t="s">
        <v>50</v>
      </c>
      <c r="N89" t="s">
        <v>51</v>
      </c>
      <c r="O89" t="s">
        <v>62</v>
      </c>
      <c r="P89" t="s">
        <v>17</v>
      </c>
      <c r="Q89" t="s">
        <v>18</v>
      </c>
    </row>
    <row r="90" spans="1:17" x14ac:dyDescent="0.3">
      <c r="A90" t="s">
        <v>255</v>
      </c>
      <c r="B90" t="s">
        <v>667</v>
      </c>
      <c r="C90" t="s">
        <v>12</v>
      </c>
      <c r="D90">
        <v>2005</v>
      </c>
      <c r="E90">
        <v>391</v>
      </c>
      <c r="F90">
        <v>483.44</v>
      </c>
      <c r="G90">
        <v>8.07</v>
      </c>
      <c r="H90">
        <v>5</v>
      </c>
      <c r="I90">
        <v>6</v>
      </c>
      <c r="J90">
        <v>6</v>
      </c>
      <c r="K90">
        <v>7</v>
      </c>
      <c r="L90" t="s">
        <v>32</v>
      </c>
      <c r="M90" t="s">
        <v>152</v>
      </c>
      <c r="N90" t="s">
        <v>212</v>
      </c>
      <c r="O90" t="s">
        <v>35</v>
      </c>
      <c r="P90" t="s">
        <v>29</v>
      </c>
      <c r="Q90" t="s">
        <v>9</v>
      </c>
    </row>
    <row r="91" spans="1:17" x14ac:dyDescent="0.3">
      <c r="A91" t="s">
        <v>257</v>
      </c>
      <c r="B91" t="s">
        <v>668</v>
      </c>
      <c r="C91" t="s">
        <v>12</v>
      </c>
      <c r="D91">
        <v>2005</v>
      </c>
      <c r="E91">
        <v>5133</v>
      </c>
      <c r="F91">
        <v>375.44</v>
      </c>
      <c r="G91">
        <v>16.82</v>
      </c>
      <c r="H91">
        <v>5</v>
      </c>
      <c r="I91">
        <v>4</v>
      </c>
      <c r="J91">
        <v>4</v>
      </c>
      <c r="K91">
        <v>2</v>
      </c>
      <c r="L91" t="s">
        <v>55</v>
      </c>
      <c r="M91" t="s">
        <v>152</v>
      </c>
      <c r="N91" t="s">
        <v>56</v>
      </c>
      <c r="O91" t="s">
        <v>57</v>
      </c>
      <c r="P91" t="s">
        <v>42</v>
      </c>
      <c r="Q91" t="s">
        <v>36</v>
      </c>
    </row>
    <row r="92" spans="1:17" x14ac:dyDescent="0.3">
      <c r="A92" t="s">
        <v>259</v>
      </c>
      <c r="B92" t="s">
        <v>669</v>
      </c>
      <c r="C92" t="s">
        <v>12</v>
      </c>
      <c r="D92">
        <v>1989</v>
      </c>
      <c r="E92">
        <v>4243</v>
      </c>
      <c r="F92">
        <v>106.66</v>
      </c>
      <c r="G92">
        <v>20.93</v>
      </c>
      <c r="H92">
        <v>8</v>
      </c>
      <c r="I92">
        <v>3</v>
      </c>
      <c r="J92">
        <v>8</v>
      </c>
      <c r="K92">
        <v>2</v>
      </c>
      <c r="L92" t="s">
        <v>95</v>
      </c>
      <c r="M92" t="s">
        <v>73</v>
      </c>
      <c r="N92" t="s">
        <v>212</v>
      </c>
      <c r="O92" t="s">
        <v>74</v>
      </c>
      <c r="P92" t="s">
        <v>42</v>
      </c>
      <c r="Q92" t="s">
        <v>18</v>
      </c>
    </row>
    <row r="93" spans="1:17" x14ac:dyDescent="0.3">
      <c r="A93" t="s">
        <v>261</v>
      </c>
      <c r="B93" t="s">
        <v>670</v>
      </c>
      <c r="C93" t="s">
        <v>81</v>
      </c>
      <c r="D93">
        <v>1984</v>
      </c>
      <c r="E93">
        <v>7732</v>
      </c>
      <c r="F93">
        <v>226.68</v>
      </c>
      <c r="G93">
        <v>-3.87</v>
      </c>
      <c r="H93">
        <v>6</v>
      </c>
      <c r="I93">
        <v>4</v>
      </c>
      <c r="J93">
        <v>7</v>
      </c>
      <c r="K93">
        <v>2</v>
      </c>
      <c r="L93" t="s">
        <v>103</v>
      </c>
      <c r="M93" t="s">
        <v>83</v>
      </c>
      <c r="N93" t="s">
        <v>89</v>
      </c>
      <c r="O93" t="s">
        <v>90</v>
      </c>
      <c r="P93" t="s">
        <v>17</v>
      </c>
      <c r="Q93" t="s">
        <v>18</v>
      </c>
    </row>
    <row r="94" spans="1:17" x14ac:dyDescent="0.3">
      <c r="A94" t="s">
        <v>263</v>
      </c>
      <c r="B94" t="s">
        <v>667</v>
      </c>
      <c r="C94" t="s">
        <v>12</v>
      </c>
      <c r="D94">
        <v>1985</v>
      </c>
      <c r="E94">
        <v>9783</v>
      </c>
      <c r="F94">
        <v>258.45999999999998</v>
      </c>
      <c r="G94">
        <v>10.039999999999999</v>
      </c>
      <c r="H94">
        <v>7</v>
      </c>
      <c r="I94">
        <v>6</v>
      </c>
      <c r="J94">
        <v>7</v>
      </c>
      <c r="K94">
        <v>7</v>
      </c>
      <c r="L94" t="s">
        <v>235</v>
      </c>
      <c r="M94" t="s">
        <v>73</v>
      </c>
      <c r="N94" t="s">
        <v>56</v>
      </c>
      <c r="O94" t="s">
        <v>57</v>
      </c>
      <c r="P94" t="s">
        <v>17</v>
      </c>
      <c r="Q94" t="s">
        <v>36</v>
      </c>
    </row>
    <row r="95" spans="1:17" x14ac:dyDescent="0.3">
      <c r="A95" t="s">
        <v>264</v>
      </c>
      <c r="B95" t="s">
        <v>651</v>
      </c>
      <c r="C95" t="s">
        <v>12</v>
      </c>
      <c r="D95">
        <v>2001</v>
      </c>
      <c r="E95">
        <v>1431</v>
      </c>
      <c r="F95">
        <v>257.23</v>
      </c>
      <c r="G95">
        <v>22.54</v>
      </c>
      <c r="H95">
        <v>5</v>
      </c>
      <c r="I95">
        <v>2</v>
      </c>
      <c r="J95">
        <v>4</v>
      </c>
      <c r="K95">
        <v>7</v>
      </c>
      <c r="L95" t="s">
        <v>13</v>
      </c>
      <c r="M95" t="s">
        <v>73</v>
      </c>
      <c r="N95" t="s">
        <v>56</v>
      </c>
      <c r="O95" t="s">
        <v>57</v>
      </c>
      <c r="P95" t="s">
        <v>42</v>
      </c>
      <c r="Q95" t="s">
        <v>9</v>
      </c>
    </row>
    <row r="96" spans="1:17" x14ac:dyDescent="0.3">
      <c r="A96" t="s">
        <v>265</v>
      </c>
      <c r="B96" t="s">
        <v>671</v>
      </c>
      <c r="C96" t="s">
        <v>3</v>
      </c>
      <c r="D96">
        <v>2018</v>
      </c>
      <c r="E96">
        <v>907</v>
      </c>
      <c r="F96">
        <v>396.72</v>
      </c>
      <c r="G96">
        <v>5</v>
      </c>
      <c r="H96">
        <v>9</v>
      </c>
      <c r="I96">
        <v>4</v>
      </c>
      <c r="J96">
        <v>3</v>
      </c>
      <c r="K96">
        <v>4</v>
      </c>
      <c r="L96" t="s">
        <v>4</v>
      </c>
      <c r="M96" t="s">
        <v>5</v>
      </c>
      <c r="N96" t="s">
        <v>173</v>
      </c>
      <c r="O96" t="s">
        <v>78</v>
      </c>
      <c r="P96" t="s">
        <v>29</v>
      </c>
      <c r="Q96" t="s">
        <v>18</v>
      </c>
    </row>
    <row r="97" spans="1:17" x14ac:dyDescent="0.3">
      <c r="A97" t="s">
        <v>267</v>
      </c>
      <c r="B97" t="s">
        <v>672</v>
      </c>
      <c r="C97" t="s">
        <v>3</v>
      </c>
      <c r="D97">
        <v>1999</v>
      </c>
      <c r="E97">
        <v>6471</v>
      </c>
      <c r="F97">
        <v>73.19</v>
      </c>
      <c r="G97">
        <v>10.25</v>
      </c>
      <c r="H97">
        <v>9</v>
      </c>
      <c r="I97">
        <v>2</v>
      </c>
      <c r="J97">
        <v>5</v>
      </c>
      <c r="K97">
        <v>6</v>
      </c>
      <c r="L97" t="s">
        <v>39</v>
      </c>
      <c r="M97" t="s">
        <v>157</v>
      </c>
      <c r="N97" t="s">
        <v>116</v>
      </c>
      <c r="O97" t="s">
        <v>7</v>
      </c>
      <c r="P97" t="s">
        <v>17</v>
      </c>
      <c r="Q97" t="s">
        <v>18</v>
      </c>
    </row>
    <row r="98" spans="1:17" x14ac:dyDescent="0.3">
      <c r="A98" t="s">
        <v>269</v>
      </c>
      <c r="B98" t="s">
        <v>664</v>
      </c>
      <c r="C98" t="s">
        <v>3</v>
      </c>
      <c r="D98">
        <v>1991</v>
      </c>
      <c r="E98">
        <v>3559</v>
      </c>
      <c r="F98">
        <v>177.45</v>
      </c>
      <c r="G98">
        <v>14.86</v>
      </c>
      <c r="H98">
        <v>7</v>
      </c>
      <c r="I98">
        <v>3</v>
      </c>
      <c r="J98">
        <v>4</v>
      </c>
      <c r="K98">
        <v>3</v>
      </c>
      <c r="L98" t="s">
        <v>103</v>
      </c>
      <c r="M98" t="s">
        <v>77</v>
      </c>
      <c r="N98" t="s">
        <v>173</v>
      </c>
      <c r="O98" t="s">
        <v>7</v>
      </c>
      <c r="P98" t="s">
        <v>8</v>
      </c>
      <c r="Q98" t="s">
        <v>18</v>
      </c>
    </row>
    <row r="99" spans="1:17" x14ac:dyDescent="0.3">
      <c r="A99" t="s">
        <v>270</v>
      </c>
      <c r="B99" t="s">
        <v>673</v>
      </c>
      <c r="C99" t="s">
        <v>81</v>
      </c>
      <c r="D99">
        <v>1989</v>
      </c>
      <c r="E99">
        <v>2708</v>
      </c>
      <c r="F99">
        <v>98.61</v>
      </c>
      <c r="G99">
        <v>24.09</v>
      </c>
      <c r="H99">
        <v>9</v>
      </c>
      <c r="I99">
        <v>6</v>
      </c>
      <c r="J99">
        <v>4</v>
      </c>
      <c r="K99">
        <v>7</v>
      </c>
      <c r="L99" t="s">
        <v>190</v>
      </c>
      <c r="M99" t="s">
        <v>83</v>
      </c>
      <c r="N99" t="s">
        <v>145</v>
      </c>
      <c r="O99" t="s">
        <v>166</v>
      </c>
      <c r="P99" t="s">
        <v>29</v>
      </c>
      <c r="Q99" t="s">
        <v>9</v>
      </c>
    </row>
    <row r="100" spans="1:17" x14ac:dyDescent="0.3">
      <c r="A100" t="s">
        <v>582</v>
      </c>
      <c r="B100" t="s">
        <v>674</v>
      </c>
      <c r="C100" t="s">
        <v>24</v>
      </c>
      <c r="D100">
        <v>2014</v>
      </c>
      <c r="E100">
        <v>3968</v>
      </c>
      <c r="F100">
        <v>161.63999999999999</v>
      </c>
      <c r="G100">
        <v>10.09</v>
      </c>
      <c r="H100">
        <v>7</v>
      </c>
      <c r="I100">
        <v>3</v>
      </c>
      <c r="J100">
        <v>5</v>
      </c>
      <c r="K100">
        <v>7</v>
      </c>
      <c r="L100" t="s">
        <v>65</v>
      </c>
      <c r="M100" t="s">
        <v>131</v>
      </c>
      <c r="N100" t="s">
        <v>27</v>
      </c>
      <c r="O100" t="s">
        <v>28</v>
      </c>
      <c r="P100" t="s">
        <v>17</v>
      </c>
      <c r="Q100" t="s">
        <v>36</v>
      </c>
    </row>
    <row r="101" spans="1:17" x14ac:dyDescent="0.3">
      <c r="A101" t="s">
        <v>583</v>
      </c>
      <c r="B101" t="s">
        <v>675</v>
      </c>
      <c r="C101" t="s">
        <v>24</v>
      </c>
      <c r="D101">
        <v>2018</v>
      </c>
      <c r="E101">
        <v>2317</v>
      </c>
      <c r="F101">
        <v>437.77</v>
      </c>
      <c r="G101">
        <v>17.89</v>
      </c>
      <c r="H101">
        <v>4</v>
      </c>
      <c r="I101">
        <v>7</v>
      </c>
      <c r="J101">
        <v>6</v>
      </c>
      <c r="K101">
        <v>4</v>
      </c>
      <c r="L101" t="s">
        <v>65</v>
      </c>
      <c r="M101" t="s">
        <v>195</v>
      </c>
      <c r="N101" t="s">
        <v>93</v>
      </c>
      <c r="O101" t="s">
        <v>28</v>
      </c>
      <c r="P101" t="s">
        <v>8</v>
      </c>
      <c r="Q101" t="s">
        <v>9</v>
      </c>
    </row>
    <row r="102" spans="1:17" x14ac:dyDescent="0.3">
      <c r="A102" t="s">
        <v>276</v>
      </c>
      <c r="B102" t="s">
        <v>602</v>
      </c>
      <c r="C102" t="s">
        <v>48</v>
      </c>
      <c r="D102">
        <v>1989</v>
      </c>
      <c r="E102">
        <v>7217</v>
      </c>
      <c r="F102">
        <v>54.94</v>
      </c>
      <c r="G102">
        <v>6.58</v>
      </c>
      <c r="H102">
        <v>5</v>
      </c>
      <c r="I102">
        <v>5</v>
      </c>
      <c r="J102">
        <v>5</v>
      </c>
      <c r="K102">
        <v>2</v>
      </c>
      <c r="L102" t="s">
        <v>121</v>
      </c>
      <c r="M102" t="s">
        <v>50</v>
      </c>
      <c r="N102" t="s">
        <v>89</v>
      </c>
      <c r="O102" t="s">
        <v>52</v>
      </c>
      <c r="P102" t="s">
        <v>29</v>
      </c>
      <c r="Q102" t="s">
        <v>36</v>
      </c>
    </row>
    <row r="103" spans="1:17" x14ac:dyDescent="0.3">
      <c r="A103" t="s">
        <v>277</v>
      </c>
      <c r="B103" t="s">
        <v>603</v>
      </c>
      <c r="C103" t="s">
        <v>24</v>
      </c>
      <c r="D103">
        <v>1981</v>
      </c>
      <c r="E103">
        <v>5271</v>
      </c>
      <c r="F103">
        <v>466.1</v>
      </c>
      <c r="G103">
        <v>17.77</v>
      </c>
      <c r="H103">
        <v>9</v>
      </c>
      <c r="I103">
        <v>7</v>
      </c>
      <c r="J103">
        <v>5</v>
      </c>
      <c r="K103">
        <v>3</v>
      </c>
      <c r="L103" t="s">
        <v>141</v>
      </c>
      <c r="M103" t="s">
        <v>195</v>
      </c>
      <c r="N103" t="s">
        <v>67</v>
      </c>
      <c r="O103" t="s">
        <v>68</v>
      </c>
      <c r="P103" t="s">
        <v>29</v>
      </c>
      <c r="Q103" t="s">
        <v>18</v>
      </c>
    </row>
    <row r="104" spans="1:17" x14ac:dyDescent="0.3">
      <c r="A104" t="s">
        <v>278</v>
      </c>
      <c r="B104" t="s">
        <v>676</v>
      </c>
      <c r="C104" t="s">
        <v>48</v>
      </c>
      <c r="D104">
        <v>1980</v>
      </c>
      <c r="E104">
        <v>1348</v>
      </c>
      <c r="F104">
        <v>19.309999999999999</v>
      </c>
      <c r="G104">
        <v>4.03</v>
      </c>
      <c r="H104">
        <v>5</v>
      </c>
      <c r="I104">
        <v>3</v>
      </c>
      <c r="J104">
        <v>7</v>
      </c>
      <c r="K104">
        <v>7</v>
      </c>
      <c r="L104" t="s">
        <v>51</v>
      </c>
      <c r="M104" t="s">
        <v>154</v>
      </c>
      <c r="N104" t="s">
        <v>61</v>
      </c>
      <c r="O104" t="s">
        <v>52</v>
      </c>
      <c r="P104" t="s">
        <v>29</v>
      </c>
      <c r="Q104" t="s">
        <v>36</v>
      </c>
    </row>
    <row r="105" spans="1:17" x14ac:dyDescent="0.3">
      <c r="A105" t="s">
        <v>280</v>
      </c>
      <c r="B105" t="s">
        <v>677</v>
      </c>
      <c r="C105" t="s">
        <v>81</v>
      </c>
      <c r="D105">
        <v>2020</v>
      </c>
      <c r="E105">
        <v>7539</v>
      </c>
      <c r="F105">
        <v>40.78</v>
      </c>
      <c r="G105">
        <v>-4.95</v>
      </c>
      <c r="H105">
        <v>7</v>
      </c>
      <c r="I105">
        <v>6</v>
      </c>
      <c r="J105">
        <v>7</v>
      </c>
      <c r="K105">
        <v>2</v>
      </c>
      <c r="L105" t="s">
        <v>82</v>
      </c>
      <c r="M105" t="s">
        <v>104</v>
      </c>
      <c r="N105" t="s">
        <v>209</v>
      </c>
      <c r="O105" t="s">
        <v>166</v>
      </c>
      <c r="P105" t="s">
        <v>17</v>
      </c>
      <c r="Q105" t="s">
        <v>18</v>
      </c>
    </row>
    <row r="106" spans="1:17" x14ac:dyDescent="0.3">
      <c r="A106" t="s">
        <v>282</v>
      </c>
      <c r="B106" t="s">
        <v>678</v>
      </c>
      <c r="C106" t="s">
        <v>48</v>
      </c>
      <c r="D106">
        <v>2006</v>
      </c>
      <c r="E106">
        <v>3118</v>
      </c>
      <c r="F106">
        <v>335.54</v>
      </c>
      <c r="G106">
        <v>14.07</v>
      </c>
      <c r="H106">
        <v>4</v>
      </c>
      <c r="I106">
        <v>6</v>
      </c>
      <c r="J106">
        <v>5</v>
      </c>
      <c r="K106">
        <v>2</v>
      </c>
      <c r="L106" t="s">
        <v>51</v>
      </c>
      <c r="M106" t="s">
        <v>50</v>
      </c>
      <c r="N106" t="s">
        <v>89</v>
      </c>
      <c r="O106" t="s">
        <v>62</v>
      </c>
      <c r="P106" t="s">
        <v>8</v>
      </c>
      <c r="Q106" t="s">
        <v>36</v>
      </c>
    </row>
    <row r="107" spans="1:17" x14ac:dyDescent="0.3">
      <c r="A107" t="s">
        <v>284</v>
      </c>
      <c r="B107" t="s">
        <v>679</v>
      </c>
      <c r="C107" t="s">
        <v>12</v>
      </c>
      <c r="D107">
        <v>2002</v>
      </c>
      <c r="E107">
        <v>1156</v>
      </c>
      <c r="F107">
        <v>178.95</v>
      </c>
      <c r="G107">
        <v>11.38</v>
      </c>
      <c r="H107">
        <v>9</v>
      </c>
      <c r="I107">
        <v>7</v>
      </c>
      <c r="J107">
        <v>8</v>
      </c>
      <c r="K107">
        <v>2</v>
      </c>
      <c r="L107" t="s">
        <v>55</v>
      </c>
      <c r="M107" t="s">
        <v>14</v>
      </c>
      <c r="N107" t="s">
        <v>56</v>
      </c>
      <c r="O107" t="s">
        <v>35</v>
      </c>
      <c r="P107" t="s">
        <v>42</v>
      </c>
      <c r="Q107" t="s">
        <v>18</v>
      </c>
    </row>
    <row r="108" spans="1:17" x14ac:dyDescent="0.3">
      <c r="A108" t="s">
        <v>286</v>
      </c>
      <c r="B108" t="s">
        <v>602</v>
      </c>
      <c r="C108" t="s">
        <v>81</v>
      </c>
      <c r="D108">
        <v>2020</v>
      </c>
      <c r="E108">
        <v>3036</v>
      </c>
      <c r="F108">
        <v>407.63</v>
      </c>
      <c r="G108">
        <v>4.47</v>
      </c>
      <c r="H108">
        <v>4</v>
      </c>
      <c r="I108">
        <v>7</v>
      </c>
      <c r="J108">
        <v>6</v>
      </c>
      <c r="K108">
        <v>2</v>
      </c>
      <c r="L108" t="s">
        <v>103</v>
      </c>
      <c r="M108" t="s">
        <v>104</v>
      </c>
      <c r="N108" t="s">
        <v>82</v>
      </c>
      <c r="O108" t="s">
        <v>111</v>
      </c>
      <c r="P108" t="s">
        <v>8</v>
      </c>
      <c r="Q108" t="s">
        <v>36</v>
      </c>
    </row>
    <row r="109" spans="1:17" x14ac:dyDescent="0.3">
      <c r="A109" t="s">
        <v>287</v>
      </c>
      <c r="B109" t="s">
        <v>680</v>
      </c>
      <c r="C109" t="s">
        <v>81</v>
      </c>
      <c r="D109">
        <v>2014</v>
      </c>
      <c r="E109">
        <v>7806</v>
      </c>
      <c r="F109">
        <v>134.12</v>
      </c>
      <c r="G109">
        <v>8.11</v>
      </c>
      <c r="H109">
        <v>9</v>
      </c>
      <c r="I109">
        <v>3</v>
      </c>
      <c r="J109">
        <v>5</v>
      </c>
      <c r="K109">
        <v>4</v>
      </c>
      <c r="L109" t="s">
        <v>87</v>
      </c>
      <c r="M109" t="s">
        <v>139</v>
      </c>
      <c r="N109" t="s">
        <v>89</v>
      </c>
      <c r="O109" t="s">
        <v>84</v>
      </c>
      <c r="P109" t="s">
        <v>42</v>
      </c>
      <c r="Q109" t="s">
        <v>18</v>
      </c>
    </row>
    <row r="110" spans="1:17" x14ac:dyDescent="0.3">
      <c r="A110" t="s">
        <v>289</v>
      </c>
      <c r="B110" t="s">
        <v>681</v>
      </c>
      <c r="C110" t="s">
        <v>81</v>
      </c>
      <c r="D110">
        <v>2001</v>
      </c>
      <c r="E110">
        <v>3110</v>
      </c>
      <c r="F110">
        <v>253.14</v>
      </c>
      <c r="G110">
        <v>11.36</v>
      </c>
      <c r="H110">
        <v>7</v>
      </c>
      <c r="I110">
        <v>4</v>
      </c>
      <c r="J110">
        <v>7</v>
      </c>
      <c r="K110">
        <v>4</v>
      </c>
      <c r="L110" t="s">
        <v>87</v>
      </c>
      <c r="M110" t="s">
        <v>88</v>
      </c>
      <c r="N110" t="s">
        <v>82</v>
      </c>
      <c r="O110" t="s">
        <v>90</v>
      </c>
      <c r="P110" t="s">
        <v>29</v>
      </c>
      <c r="Q110" t="s">
        <v>18</v>
      </c>
    </row>
    <row r="111" spans="1:17" x14ac:dyDescent="0.3">
      <c r="A111" t="s">
        <v>291</v>
      </c>
      <c r="B111" t="s">
        <v>655</v>
      </c>
      <c r="C111" t="s">
        <v>12</v>
      </c>
      <c r="D111">
        <v>2000</v>
      </c>
      <c r="E111">
        <v>4893</v>
      </c>
      <c r="F111">
        <v>160.18</v>
      </c>
      <c r="G111">
        <v>13.45</v>
      </c>
      <c r="H111">
        <v>8</v>
      </c>
      <c r="I111">
        <v>7</v>
      </c>
      <c r="J111">
        <v>6</v>
      </c>
      <c r="K111">
        <v>3</v>
      </c>
      <c r="L111" t="s">
        <v>13</v>
      </c>
      <c r="M111" t="s">
        <v>14</v>
      </c>
      <c r="N111" t="s">
        <v>212</v>
      </c>
      <c r="O111" t="s">
        <v>35</v>
      </c>
      <c r="P111" t="s">
        <v>42</v>
      </c>
      <c r="Q111" t="s">
        <v>18</v>
      </c>
    </row>
    <row r="112" spans="1:17" x14ac:dyDescent="0.3">
      <c r="A112" t="s">
        <v>292</v>
      </c>
      <c r="B112" t="s">
        <v>682</v>
      </c>
      <c r="C112" t="s">
        <v>12</v>
      </c>
      <c r="D112">
        <v>1984</v>
      </c>
      <c r="E112">
        <v>6705</v>
      </c>
      <c r="F112">
        <v>188.02</v>
      </c>
      <c r="G112">
        <v>2.08</v>
      </c>
      <c r="H112">
        <v>9</v>
      </c>
      <c r="I112">
        <v>7</v>
      </c>
      <c r="J112">
        <v>4</v>
      </c>
      <c r="K112">
        <v>2</v>
      </c>
      <c r="L112" t="s">
        <v>95</v>
      </c>
      <c r="M112" t="s">
        <v>73</v>
      </c>
      <c r="N112" t="s">
        <v>15</v>
      </c>
      <c r="O112" t="s">
        <v>16</v>
      </c>
      <c r="P112" t="s">
        <v>8</v>
      </c>
      <c r="Q112" t="s">
        <v>18</v>
      </c>
    </row>
    <row r="113" spans="1:17" x14ac:dyDescent="0.3">
      <c r="A113" t="s">
        <v>294</v>
      </c>
      <c r="B113" t="s">
        <v>683</v>
      </c>
      <c r="C113" t="s">
        <v>81</v>
      </c>
      <c r="D113">
        <v>2016</v>
      </c>
      <c r="E113">
        <v>580</v>
      </c>
      <c r="F113">
        <v>306.5</v>
      </c>
      <c r="G113">
        <v>4.43</v>
      </c>
      <c r="H113">
        <v>9</v>
      </c>
      <c r="I113">
        <v>5</v>
      </c>
      <c r="J113">
        <v>5</v>
      </c>
      <c r="K113">
        <v>4</v>
      </c>
      <c r="L113" t="s">
        <v>190</v>
      </c>
      <c r="M113" t="s">
        <v>83</v>
      </c>
      <c r="N113" t="s">
        <v>209</v>
      </c>
      <c r="O113" t="s">
        <v>166</v>
      </c>
      <c r="P113" t="s">
        <v>17</v>
      </c>
      <c r="Q113" t="s">
        <v>18</v>
      </c>
    </row>
    <row r="114" spans="1:17" x14ac:dyDescent="0.3">
      <c r="A114" t="s">
        <v>296</v>
      </c>
      <c r="B114" t="s">
        <v>684</v>
      </c>
      <c r="C114" t="s">
        <v>12</v>
      </c>
      <c r="D114">
        <v>1981</v>
      </c>
      <c r="E114">
        <v>3098</v>
      </c>
      <c r="F114">
        <v>254.53</v>
      </c>
      <c r="G114">
        <v>1.01</v>
      </c>
      <c r="H114">
        <v>7</v>
      </c>
      <c r="I114">
        <v>6</v>
      </c>
      <c r="J114">
        <v>3</v>
      </c>
      <c r="K114">
        <v>4</v>
      </c>
      <c r="L114" t="s">
        <v>32</v>
      </c>
      <c r="M114" t="s">
        <v>73</v>
      </c>
      <c r="N114" t="s">
        <v>56</v>
      </c>
      <c r="O114" t="s">
        <v>57</v>
      </c>
      <c r="P114" t="s">
        <v>17</v>
      </c>
      <c r="Q114" t="s">
        <v>9</v>
      </c>
    </row>
    <row r="115" spans="1:17" x14ac:dyDescent="0.3">
      <c r="A115" t="s">
        <v>584</v>
      </c>
      <c r="B115" t="s">
        <v>633</v>
      </c>
      <c r="C115" t="s">
        <v>81</v>
      </c>
      <c r="D115">
        <v>1991</v>
      </c>
      <c r="E115">
        <v>7342</v>
      </c>
      <c r="F115">
        <v>498.66</v>
      </c>
      <c r="G115">
        <v>18.809999999999999</v>
      </c>
      <c r="H115">
        <v>9</v>
      </c>
      <c r="I115">
        <v>4</v>
      </c>
      <c r="J115">
        <v>8</v>
      </c>
      <c r="K115">
        <v>4</v>
      </c>
      <c r="L115" t="s">
        <v>87</v>
      </c>
      <c r="M115" t="s">
        <v>139</v>
      </c>
      <c r="N115" t="s">
        <v>89</v>
      </c>
      <c r="O115" t="s">
        <v>111</v>
      </c>
      <c r="P115" t="s">
        <v>29</v>
      </c>
      <c r="Q115" t="s">
        <v>18</v>
      </c>
    </row>
    <row r="116" spans="1:17" x14ac:dyDescent="0.3">
      <c r="A116" t="s">
        <v>299</v>
      </c>
      <c r="B116" t="s">
        <v>685</v>
      </c>
      <c r="C116" t="s">
        <v>12</v>
      </c>
      <c r="D116">
        <v>1992</v>
      </c>
      <c r="E116">
        <v>2325</v>
      </c>
      <c r="F116">
        <v>126</v>
      </c>
      <c r="G116">
        <v>-3.03</v>
      </c>
      <c r="H116">
        <v>7</v>
      </c>
      <c r="I116">
        <v>2</v>
      </c>
      <c r="J116">
        <v>5</v>
      </c>
      <c r="K116">
        <v>6</v>
      </c>
      <c r="L116" t="s">
        <v>55</v>
      </c>
      <c r="M116" t="s">
        <v>14</v>
      </c>
      <c r="N116" t="s">
        <v>212</v>
      </c>
      <c r="O116" t="s">
        <v>16</v>
      </c>
      <c r="P116" t="s">
        <v>8</v>
      </c>
      <c r="Q116" t="s">
        <v>18</v>
      </c>
    </row>
    <row r="117" spans="1:17" x14ac:dyDescent="0.3">
      <c r="A117" t="s">
        <v>301</v>
      </c>
      <c r="B117" t="s">
        <v>686</v>
      </c>
      <c r="C117" t="s">
        <v>48</v>
      </c>
      <c r="D117">
        <v>2006</v>
      </c>
      <c r="E117">
        <v>6758</v>
      </c>
      <c r="F117">
        <v>413.44</v>
      </c>
      <c r="G117">
        <v>21.34</v>
      </c>
      <c r="H117">
        <v>4</v>
      </c>
      <c r="I117">
        <v>3</v>
      </c>
      <c r="J117">
        <v>5</v>
      </c>
      <c r="K117">
        <v>7</v>
      </c>
      <c r="L117" t="s">
        <v>49</v>
      </c>
      <c r="M117" t="s">
        <v>154</v>
      </c>
      <c r="N117" t="s">
        <v>89</v>
      </c>
      <c r="O117" t="s">
        <v>52</v>
      </c>
      <c r="P117" t="s">
        <v>29</v>
      </c>
      <c r="Q117" t="s">
        <v>9</v>
      </c>
    </row>
    <row r="118" spans="1:17" x14ac:dyDescent="0.3">
      <c r="A118" t="s">
        <v>303</v>
      </c>
      <c r="B118" t="s">
        <v>687</v>
      </c>
      <c r="C118" t="s">
        <v>24</v>
      </c>
      <c r="D118">
        <v>1988</v>
      </c>
      <c r="E118">
        <v>7138</v>
      </c>
      <c r="F118">
        <v>256.39999999999998</v>
      </c>
      <c r="G118">
        <v>5.38</v>
      </c>
      <c r="H118">
        <v>4</v>
      </c>
      <c r="I118">
        <v>2</v>
      </c>
      <c r="J118">
        <v>7</v>
      </c>
      <c r="K118">
        <v>3</v>
      </c>
      <c r="L118" t="s">
        <v>305</v>
      </c>
      <c r="M118" t="s">
        <v>66</v>
      </c>
      <c r="N118" t="s">
        <v>132</v>
      </c>
      <c r="O118" t="s">
        <v>28</v>
      </c>
      <c r="P118" t="s">
        <v>29</v>
      </c>
      <c r="Q118" t="s">
        <v>18</v>
      </c>
    </row>
    <row r="119" spans="1:17" x14ac:dyDescent="0.3">
      <c r="A119" t="s">
        <v>306</v>
      </c>
      <c r="B119" t="s">
        <v>688</v>
      </c>
      <c r="C119" t="s">
        <v>12</v>
      </c>
      <c r="D119">
        <v>1996</v>
      </c>
      <c r="E119">
        <v>3266</v>
      </c>
      <c r="F119">
        <v>321.18</v>
      </c>
      <c r="G119">
        <v>14.76</v>
      </c>
      <c r="H119">
        <v>8</v>
      </c>
      <c r="I119">
        <v>4</v>
      </c>
      <c r="J119">
        <v>4</v>
      </c>
      <c r="K119">
        <v>7</v>
      </c>
      <c r="L119" t="s">
        <v>32</v>
      </c>
      <c r="M119" t="s">
        <v>152</v>
      </c>
      <c r="N119" t="s">
        <v>56</v>
      </c>
      <c r="O119" t="s">
        <v>16</v>
      </c>
      <c r="P119" t="s">
        <v>29</v>
      </c>
      <c r="Q119" t="s">
        <v>36</v>
      </c>
    </row>
    <row r="120" spans="1:17" x14ac:dyDescent="0.3">
      <c r="A120" t="s">
        <v>308</v>
      </c>
      <c r="B120" t="s">
        <v>689</v>
      </c>
      <c r="C120" t="s">
        <v>12</v>
      </c>
      <c r="D120">
        <v>1981</v>
      </c>
      <c r="E120">
        <v>1380</v>
      </c>
      <c r="F120">
        <v>32.28</v>
      </c>
      <c r="G120">
        <v>14.26</v>
      </c>
      <c r="H120">
        <v>9</v>
      </c>
      <c r="I120">
        <v>6</v>
      </c>
      <c r="J120">
        <v>5</v>
      </c>
      <c r="K120">
        <v>7</v>
      </c>
      <c r="L120" t="s">
        <v>95</v>
      </c>
      <c r="M120" t="s">
        <v>73</v>
      </c>
      <c r="N120" t="s">
        <v>15</v>
      </c>
      <c r="O120" t="s">
        <v>74</v>
      </c>
      <c r="P120" t="s">
        <v>42</v>
      </c>
      <c r="Q120" t="s">
        <v>36</v>
      </c>
    </row>
    <row r="121" spans="1:17" x14ac:dyDescent="0.3">
      <c r="A121" t="s">
        <v>310</v>
      </c>
      <c r="B121" t="s">
        <v>681</v>
      </c>
      <c r="C121" t="s">
        <v>24</v>
      </c>
      <c r="D121">
        <v>2005</v>
      </c>
      <c r="E121">
        <v>4923</v>
      </c>
      <c r="F121">
        <v>232.24</v>
      </c>
      <c r="G121">
        <v>13.2</v>
      </c>
      <c r="H121">
        <v>9</v>
      </c>
      <c r="I121">
        <v>2</v>
      </c>
      <c r="J121">
        <v>4</v>
      </c>
      <c r="K121">
        <v>5</v>
      </c>
      <c r="L121" t="s">
        <v>25</v>
      </c>
      <c r="M121" t="s">
        <v>131</v>
      </c>
      <c r="N121" t="s">
        <v>27</v>
      </c>
      <c r="O121" t="s">
        <v>200</v>
      </c>
      <c r="P121" t="s">
        <v>42</v>
      </c>
      <c r="Q121" t="s">
        <v>18</v>
      </c>
    </row>
    <row r="122" spans="1:17" x14ac:dyDescent="0.3">
      <c r="A122" t="s">
        <v>311</v>
      </c>
      <c r="B122" t="s">
        <v>645</v>
      </c>
      <c r="C122" t="s">
        <v>3</v>
      </c>
      <c r="D122">
        <v>2005</v>
      </c>
      <c r="E122">
        <v>2192</v>
      </c>
      <c r="F122">
        <v>382.73</v>
      </c>
      <c r="G122">
        <v>2.44</v>
      </c>
      <c r="H122">
        <v>8</v>
      </c>
      <c r="I122">
        <v>6</v>
      </c>
      <c r="J122">
        <v>3</v>
      </c>
      <c r="K122">
        <v>4</v>
      </c>
      <c r="L122" t="s">
        <v>103</v>
      </c>
      <c r="M122" t="s">
        <v>5</v>
      </c>
      <c r="N122" t="s">
        <v>6</v>
      </c>
      <c r="O122" t="s">
        <v>78</v>
      </c>
      <c r="P122" t="s">
        <v>17</v>
      </c>
      <c r="Q122" t="s">
        <v>36</v>
      </c>
    </row>
    <row r="123" spans="1:17" x14ac:dyDescent="0.3">
      <c r="A123" t="s">
        <v>312</v>
      </c>
      <c r="B123" t="s">
        <v>690</v>
      </c>
      <c r="C123" t="s">
        <v>3</v>
      </c>
      <c r="D123">
        <v>2004</v>
      </c>
      <c r="E123">
        <v>6900</v>
      </c>
      <c r="F123">
        <v>131.65</v>
      </c>
      <c r="G123">
        <v>9.9600000000000009</v>
      </c>
      <c r="H123">
        <v>5</v>
      </c>
      <c r="I123">
        <v>4</v>
      </c>
      <c r="J123">
        <v>7</v>
      </c>
      <c r="K123">
        <v>7</v>
      </c>
      <c r="L123" t="s">
        <v>161</v>
      </c>
      <c r="M123" t="s">
        <v>115</v>
      </c>
      <c r="N123" t="s">
        <v>116</v>
      </c>
      <c r="O123" t="s">
        <v>21</v>
      </c>
      <c r="P123" t="s">
        <v>17</v>
      </c>
      <c r="Q123" t="s">
        <v>36</v>
      </c>
    </row>
    <row r="124" spans="1:17" x14ac:dyDescent="0.3">
      <c r="A124" t="s">
        <v>314</v>
      </c>
      <c r="B124" t="s">
        <v>656</v>
      </c>
      <c r="C124" t="s">
        <v>12</v>
      </c>
      <c r="D124">
        <v>1985</v>
      </c>
      <c r="E124">
        <v>6492</v>
      </c>
      <c r="F124">
        <v>257.67</v>
      </c>
      <c r="G124">
        <v>3.57</v>
      </c>
      <c r="H124">
        <v>5</v>
      </c>
      <c r="I124">
        <v>3</v>
      </c>
      <c r="J124">
        <v>7</v>
      </c>
      <c r="K124">
        <v>4</v>
      </c>
      <c r="L124" t="s">
        <v>235</v>
      </c>
      <c r="M124" t="s">
        <v>152</v>
      </c>
      <c r="N124" t="s">
        <v>34</v>
      </c>
      <c r="O124" t="s">
        <v>74</v>
      </c>
      <c r="P124" t="s">
        <v>17</v>
      </c>
      <c r="Q124" t="s">
        <v>18</v>
      </c>
    </row>
    <row r="125" spans="1:17" x14ac:dyDescent="0.3">
      <c r="A125" t="s">
        <v>315</v>
      </c>
      <c r="B125" t="s">
        <v>691</v>
      </c>
      <c r="C125" t="s">
        <v>81</v>
      </c>
      <c r="D125">
        <v>1988</v>
      </c>
      <c r="E125">
        <v>4383</v>
      </c>
      <c r="F125">
        <v>366.48</v>
      </c>
      <c r="G125">
        <v>6.59</v>
      </c>
      <c r="H125">
        <v>7</v>
      </c>
      <c r="I125">
        <v>4</v>
      </c>
      <c r="J125">
        <v>3</v>
      </c>
      <c r="K125">
        <v>5</v>
      </c>
      <c r="L125" t="s">
        <v>87</v>
      </c>
      <c r="M125" t="s">
        <v>104</v>
      </c>
      <c r="N125" t="s">
        <v>89</v>
      </c>
      <c r="O125" t="s">
        <v>166</v>
      </c>
      <c r="P125" t="s">
        <v>8</v>
      </c>
      <c r="Q125" t="s">
        <v>36</v>
      </c>
    </row>
    <row r="126" spans="1:17" x14ac:dyDescent="0.3">
      <c r="A126" t="s">
        <v>317</v>
      </c>
      <c r="B126" t="s">
        <v>668</v>
      </c>
      <c r="C126" t="s">
        <v>3</v>
      </c>
      <c r="D126">
        <v>2019</v>
      </c>
      <c r="E126">
        <v>1996</v>
      </c>
      <c r="F126">
        <v>73.05</v>
      </c>
      <c r="G126">
        <v>10</v>
      </c>
      <c r="H126">
        <v>4</v>
      </c>
      <c r="I126">
        <v>5</v>
      </c>
      <c r="J126">
        <v>5</v>
      </c>
      <c r="K126">
        <v>4</v>
      </c>
      <c r="L126" t="s">
        <v>45</v>
      </c>
      <c r="M126" t="s">
        <v>157</v>
      </c>
      <c r="N126" t="s">
        <v>116</v>
      </c>
      <c r="O126" t="s">
        <v>41</v>
      </c>
      <c r="P126" t="s">
        <v>17</v>
      </c>
      <c r="Q126" t="s">
        <v>9</v>
      </c>
    </row>
    <row r="127" spans="1:17" x14ac:dyDescent="0.3">
      <c r="A127" t="s">
        <v>585</v>
      </c>
      <c r="B127" t="s">
        <v>615</v>
      </c>
      <c r="C127" t="s">
        <v>24</v>
      </c>
      <c r="D127">
        <v>2001</v>
      </c>
      <c r="E127">
        <v>7811</v>
      </c>
      <c r="F127">
        <v>264.47000000000003</v>
      </c>
      <c r="G127">
        <v>12.81</v>
      </c>
      <c r="H127">
        <v>5</v>
      </c>
      <c r="I127">
        <v>6</v>
      </c>
      <c r="J127">
        <v>7</v>
      </c>
      <c r="K127">
        <v>3</v>
      </c>
      <c r="L127" t="s">
        <v>305</v>
      </c>
      <c r="M127" t="s">
        <v>26</v>
      </c>
      <c r="N127" t="s">
        <v>132</v>
      </c>
      <c r="O127" t="s">
        <v>68</v>
      </c>
      <c r="P127" t="s">
        <v>42</v>
      </c>
      <c r="Q127" t="s">
        <v>36</v>
      </c>
    </row>
    <row r="128" spans="1:17" x14ac:dyDescent="0.3">
      <c r="A128" t="s">
        <v>318</v>
      </c>
      <c r="B128" t="s">
        <v>692</v>
      </c>
      <c r="C128" t="s">
        <v>48</v>
      </c>
      <c r="D128">
        <v>2011</v>
      </c>
      <c r="E128">
        <v>9272</v>
      </c>
      <c r="F128">
        <v>156.9</v>
      </c>
      <c r="G128">
        <v>2.97</v>
      </c>
      <c r="H128">
        <v>4</v>
      </c>
      <c r="I128">
        <v>4</v>
      </c>
      <c r="J128">
        <v>5</v>
      </c>
      <c r="K128">
        <v>7</v>
      </c>
      <c r="L128" t="s">
        <v>49</v>
      </c>
      <c r="M128" t="s">
        <v>154</v>
      </c>
      <c r="N128" t="s">
        <v>51</v>
      </c>
      <c r="O128" t="s">
        <v>106</v>
      </c>
      <c r="P128" t="s">
        <v>17</v>
      </c>
      <c r="Q128" t="s">
        <v>9</v>
      </c>
    </row>
    <row r="129" spans="1:17" x14ac:dyDescent="0.3">
      <c r="A129" t="s">
        <v>320</v>
      </c>
      <c r="B129" t="s">
        <v>693</v>
      </c>
      <c r="C129" t="s">
        <v>24</v>
      </c>
      <c r="D129">
        <v>1983</v>
      </c>
      <c r="E129">
        <v>9610</v>
      </c>
      <c r="F129">
        <v>245.42</v>
      </c>
      <c r="G129">
        <v>0.72</v>
      </c>
      <c r="H129">
        <v>8</v>
      </c>
      <c r="I129">
        <v>7</v>
      </c>
      <c r="J129">
        <v>8</v>
      </c>
      <c r="K129">
        <v>6</v>
      </c>
      <c r="L129" t="s">
        <v>25</v>
      </c>
      <c r="M129" t="s">
        <v>66</v>
      </c>
      <c r="N129" t="s">
        <v>132</v>
      </c>
      <c r="O129" t="s">
        <v>16</v>
      </c>
      <c r="P129" t="s">
        <v>8</v>
      </c>
      <c r="Q129" t="s">
        <v>36</v>
      </c>
    </row>
    <row r="130" spans="1:17" x14ac:dyDescent="0.3">
      <c r="A130" t="s">
        <v>322</v>
      </c>
      <c r="B130" t="s">
        <v>694</v>
      </c>
      <c r="C130" t="s">
        <v>81</v>
      </c>
      <c r="D130">
        <v>1989</v>
      </c>
      <c r="E130">
        <v>6815</v>
      </c>
      <c r="F130">
        <v>348.35</v>
      </c>
      <c r="G130">
        <v>10.76</v>
      </c>
      <c r="H130">
        <v>7</v>
      </c>
      <c r="I130">
        <v>6</v>
      </c>
      <c r="J130">
        <v>7</v>
      </c>
      <c r="K130">
        <v>5</v>
      </c>
      <c r="L130" t="s">
        <v>87</v>
      </c>
      <c r="M130" t="s">
        <v>104</v>
      </c>
      <c r="N130" t="s">
        <v>209</v>
      </c>
      <c r="O130" t="s">
        <v>166</v>
      </c>
      <c r="P130" t="s">
        <v>17</v>
      </c>
      <c r="Q130" t="s">
        <v>36</v>
      </c>
    </row>
    <row r="131" spans="1:17" x14ac:dyDescent="0.3">
      <c r="A131" t="s">
        <v>324</v>
      </c>
      <c r="B131" t="s">
        <v>695</v>
      </c>
      <c r="C131" t="s">
        <v>81</v>
      </c>
      <c r="D131">
        <v>2014</v>
      </c>
      <c r="E131">
        <v>5658</v>
      </c>
      <c r="F131">
        <v>277.67</v>
      </c>
      <c r="G131">
        <v>11.74</v>
      </c>
      <c r="H131">
        <v>9</v>
      </c>
      <c r="I131">
        <v>7</v>
      </c>
      <c r="J131">
        <v>8</v>
      </c>
      <c r="K131">
        <v>7</v>
      </c>
      <c r="L131" t="s">
        <v>103</v>
      </c>
      <c r="M131" t="s">
        <v>88</v>
      </c>
      <c r="N131" t="s">
        <v>209</v>
      </c>
      <c r="O131" t="s">
        <v>111</v>
      </c>
      <c r="P131" t="s">
        <v>42</v>
      </c>
      <c r="Q131" t="s">
        <v>36</v>
      </c>
    </row>
    <row r="132" spans="1:17" x14ac:dyDescent="0.3">
      <c r="A132" t="s">
        <v>326</v>
      </c>
      <c r="B132" t="s">
        <v>688</v>
      </c>
      <c r="C132" t="s">
        <v>3</v>
      </c>
      <c r="D132">
        <v>1993</v>
      </c>
      <c r="E132">
        <v>8061</v>
      </c>
      <c r="F132">
        <v>165.35</v>
      </c>
      <c r="G132">
        <v>23.64</v>
      </c>
      <c r="H132">
        <v>6</v>
      </c>
      <c r="I132">
        <v>6</v>
      </c>
      <c r="J132">
        <v>8</v>
      </c>
      <c r="K132">
        <v>4</v>
      </c>
      <c r="L132" t="s">
        <v>161</v>
      </c>
      <c r="M132" t="s">
        <v>77</v>
      </c>
      <c r="N132" t="s">
        <v>40</v>
      </c>
      <c r="O132" t="s">
        <v>21</v>
      </c>
      <c r="P132" t="s">
        <v>42</v>
      </c>
      <c r="Q132" t="s">
        <v>18</v>
      </c>
    </row>
    <row r="133" spans="1:17" x14ac:dyDescent="0.3">
      <c r="A133" t="s">
        <v>327</v>
      </c>
      <c r="B133" t="s">
        <v>696</v>
      </c>
      <c r="C133" t="s">
        <v>12</v>
      </c>
      <c r="D133">
        <v>1998</v>
      </c>
      <c r="E133">
        <v>1344</v>
      </c>
      <c r="F133">
        <v>179.72</v>
      </c>
      <c r="G133">
        <v>-0.88</v>
      </c>
      <c r="H133">
        <v>7</v>
      </c>
      <c r="I133">
        <v>7</v>
      </c>
      <c r="J133">
        <v>5</v>
      </c>
      <c r="K133">
        <v>7</v>
      </c>
      <c r="L133" t="s">
        <v>13</v>
      </c>
      <c r="M133" t="s">
        <v>33</v>
      </c>
      <c r="N133" t="s">
        <v>56</v>
      </c>
      <c r="O133" t="s">
        <v>57</v>
      </c>
      <c r="P133" t="s">
        <v>42</v>
      </c>
      <c r="Q133" t="s">
        <v>9</v>
      </c>
    </row>
    <row r="134" spans="1:17" x14ac:dyDescent="0.3">
      <c r="A134" t="s">
        <v>329</v>
      </c>
      <c r="B134" t="s">
        <v>697</v>
      </c>
      <c r="C134" t="s">
        <v>12</v>
      </c>
      <c r="D134">
        <v>2013</v>
      </c>
      <c r="E134">
        <v>3747</v>
      </c>
      <c r="F134">
        <v>322.58999999999997</v>
      </c>
      <c r="G134">
        <v>7.21</v>
      </c>
      <c r="H134">
        <v>4</v>
      </c>
      <c r="I134">
        <v>2</v>
      </c>
      <c r="J134">
        <v>6</v>
      </c>
      <c r="K134">
        <v>4</v>
      </c>
      <c r="L134" t="s">
        <v>13</v>
      </c>
      <c r="M134" t="s">
        <v>152</v>
      </c>
      <c r="N134" t="s">
        <v>56</v>
      </c>
      <c r="O134" t="s">
        <v>35</v>
      </c>
      <c r="P134" t="s">
        <v>29</v>
      </c>
      <c r="Q134" t="s">
        <v>18</v>
      </c>
    </row>
    <row r="135" spans="1:17" x14ac:dyDescent="0.3">
      <c r="A135" t="s">
        <v>331</v>
      </c>
      <c r="B135" t="s">
        <v>698</v>
      </c>
      <c r="C135" t="s">
        <v>24</v>
      </c>
      <c r="D135">
        <v>1998</v>
      </c>
      <c r="E135">
        <v>5312</v>
      </c>
      <c r="F135">
        <v>149.85</v>
      </c>
      <c r="G135">
        <v>23.02</v>
      </c>
      <c r="H135">
        <v>4</v>
      </c>
      <c r="I135">
        <v>2</v>
      </c>
      <c r="J135">
        <v>8</v>
      </c>
      <c r="K135">
        <v>6</v>
      </c>
      <c r="L135" t="s">
        <v>141</v>
      </c>
      <c r="M135" t="s">
        <v>195</v>
      </c>
      <c r="N135" t="s">
        <v>132</v>
      </c>
      <c r="O135" t="s">
        <v>68</v>
      </c>
      <c r="P135" t="s">
        <v>29</v>
      </c>
      <c r="Q135" t="s">
        <v>18</v>
      </c>
    </row>
    <row r="136" spans="1:17" x14ac:dyDescent="0.3">
      <c r="A136" t="s">
        <v>333</v>
      </c>
      <c r="B136" t="s">
        <v>699</v>
      </c>
      <c r="C136" t="s">
        <v>81</v>
      </c>
      <c r="D136">
        <v>1991</v>
      </c>
      <c r="E136">
        <v>4792</v>
      </c>
      <c r="F136">
        <v>439.6</v>
      </c>
      <c r="G136">
        <v>21.68</v>
      </c>
      <c r="H136">
        <v>4</v>
      </c>
      <c r="I136">
        <v>4</v>
      </c>
      <c r="J136">
        <v>7</v>
      </c>
      <c r="K136">
        <v>6</v>
      </c>
      <c r="L136" t="s">
        <v>87</v>
      </c>
      <c r="M136" t="s">
        <v>139</v>
      </c>
      <c r="N136" t="s">
        <v>89</v>
      </c>
      <c r="O136" t="s">
        <v>90</v>
      </c>
      <c r="P136" t="s">
        <v>17</v>
      </c>
      <c r="Q136" t="s">
        <v>36</v>
      </c>
    </row>
    <row r="137" spans="1:17" x14ac:dyDescent="0.3">
      <c r="A137" t="s">
        <v>335</v>
      </c>
      <c r="B137" t="s">
        <v>700</v>
      </c>
      <c r="C137" t="s">
        <v>81</v>
      </c>
      <c r="D137">
        <v>1997</v>
      </c>
      <c r="E137">
        <v>3209</v>
      </c>
      <c r="F137">
        <v>406.32</v>
      </c>
      <c r="G137">
        <v>12.03</v>
      </c>
      <c r="H137">
        <v>6</v>
      </c>
      <c r="I137">
        <v>3</v>
      </c>
      <c r="J137">
        <v>8</v>
      </c>
      <c r="K137">
        <v>5</v>
      </c>
      <c r="L137" t="s">
        <v>103</v>
      </c>
      <c r="M137" t="s">
        <v>104</v>
      </c>
      <c r="N137" t="s">
        <v>82</v>
      </c>
      <c r="O137" t="s">
        <v>166</v>
      </c>
      <c r="P137" t="s">
        <v>42</v>
      </c>
      <c r="Q137" t="s">
        <v>18</v>
      </c>
    </row>
    <row r="138" spans="1:17" x14ac:dyDescent="0.3">
      <c r="A138" t="s">
        <v>337</v>
      </c>
      <c r="B138" t="s">
        <v>672</v>
      </c>
      <c r="C138" t="s">
        <v>48</v>
      </c>
      <c r="D138">
        <v>2020</v>
      </c>
      <c r="E138">
        <v>6693</v>
      </c>
      <c r="F138">
        <v>415.23</v>
      </c>
      <c r="G138">
        <v>23.07</v>
      </c>
      <c r="H138">
        <v>8</v>
      </c>
      <c r="I138">
        <v>4</v>
      </c>
      <c r="J138">
        <v>3</v>
      </c>
      <c r="K138">
        <v>5</v>
      </c>
      <c r="L138" t="s">
        <v>49</v>
      </c>
      <c r="M138" t="s">
        <v>14</v>
      </c>
      <c r="N138" t="s">
        <v>218</v>
      </c>
      <c r="O138" t="s">
        <v>62</v>
      </c>
      <c r="P138" t="s">
        <v>42</v>
      </c>
      <c r="Q138" t="s">
        <v>36</v>
      </c>
    </row>
    <row r="139" spans="1:17" x14ac:dyDescent="0.3">
      <c r="A139" t="s">
        <v>338</v>
      </c>
      <c r="B139" t="s">
        <v>640</v>
      </c>
      <c r="C139" t="s">
        <v>81</v>
      </c>
      <c r="D139">
        <v>1995</v>
      </c>
      <c r="E139">
        <v>7369</v>
      </c>
      <c r="F139">
        <v>379.34</v>
      </c>
      <c r="G139">
        <v>-3.14</v>
      </c>
      <c r="H139">
        <v>6</v>
      </c>
      <c r="I139">
        <v>4</v>
      </c>
      <c r="J139">
        <v>7</v>
      </c>
      <c r="K139">
        <v>7</v>
      </c>
      <c r="L139" t="s">
        <v>82</v>
      </c>
      <c r="M139" t="s">
        <v>83</v>
      </c>
      <c r="N139" t="s">
        <v>89</v>
      </c>
      <c r="O139" t="s">
        <v>166</v>
      </c>
      <c r="P139" t="s">
        <v>29</v>
      </c>
      <c r="Q139" t="s">
        <v>36</v>
      </c>
    </row>
    <row r="140" spans="1:17" x14ac:dyDescent="0.3">
      <c r="A140" t="s">
        <v>339</v>
      </c>
      <c r="B140" t="s">
        <v>701</v>
      </c>
      <c r="C140" t="s">
        <v>3</v>
      </c>
      <c r="D140">
        <v>1990</v>
      </c>
      <c r="E140">
        <v>6692</v>
      </c>
      <c r="F140">
        <v>346.18</v>
      </c>
      <c r="G140">
        <v>9.35</v>
      </c>
      <c r="H140">
        <v>9</v>
      </c>
      <c r="I140">
        <v>4</v>
      </c>
      <c r="J140">
        <v>8</v>
      </c>
      <c r="K140">
        <v>2</v>
      </c>
      <c r="L140" t="s">
        <v>161</v>
      </c>
      <c r="M140" t="s">
        <v>157</v>
      </c>
      <c r="N140" t="s">
        <v>116</v>
      </c>
      <c r="O140" t="s">
        <v>41</v>
      </c>
      <c r="P140" t="s">
        <v>29</v>
      </c>
      <c r="Q140" t="s">
        <v>18</v>
      </c>
    </row>
    <row r="141" spans="1:17" x14ac:dyDescent="0.3">
      <c r="A141" t="s">
        <v>341</v>
      </c>
      <c r="B141" t="s">
        <v>687</v>
      </c>
      <c r="C141" t="s">
        <v>3</v>
      </c>
      <c r="D141">
        <v>2006</v>
      </c>
      <c r="E141">
        <v>9048</v>
      </c>
      <c r="F141">
        <v>457.27</v>
      </c>
      <c r="G141">
        <v>22.52</v>
      </c>
      <c r="H141">
        <v>8</v>
      </c>
      <c r="I141">
        <v>7</v>
      </c>
      <c r="J141">
        <v>4</v>
      </c>
      <c r="K141">
        <v>3</v>
      </c>
      <c r="L141" t="s">
        <v>45</v>
      </c>
      <c r="M141" t="s">
        <v>77</v>
      </c>
      <c r="N141" t="s">
        <v>40</v>
      </c>
      <c r="O141" t="s">
        <v>78</v>
      </c>
      <c r="P141" t="s">
        <v>8</v>
      </c>
      <c r="Q141" t="s">
        <v>36</v>
      </c>
    </row>
    <row r="142" spans="1:17" x14ac:dyDescent="0.3">
      <c r="A142" t="s">
        <v>342</v>
      </c>
      <c r="B142" t="s">
        <v>591</v>
      </c>
      <c r="C142" t="s">
        <v>48</v>
      </c>
      <c r="D142">
        <v>2012</v>
      </c>
      <c r="E142">
        <v>3362</v>
      </c>
      <c r="F142">
        <v>290.62</v>
      </c>
      <c r="G142">
        <v>21.97</v>
      </c>
      <c r="H142">
        <v>5</v>
      </c>
      <c r="I142">
        <v>3</v>
      </c>
      <c r="J142">
        <v>5</v>
      </c>
      <c r="K142">
        <v>6</v>
      </c>
      <c r="L142" t="s">
        <v>121</v>
      </c>
      <c r="M142" t="s">
        <v>50</v>
      </c>
      <c r="N142" t="s">
        <v>218</v>
      </c>
      <c r="O142" t="s">
        <v>62</v>
      </c>
      <c r="P142" t="s">
        <v>8</v>
      </c>
      <c r="Q142" t="s">
        <v>36</v>
      </c>
    </row>
    <row r="143" spans="1:17" x14ac:dyDescent="0.3">
      <c r="A143" t="s">
        <v>343</v>
      </c>
      <c r="B143" t="s">
        <v>665</v>
      </c>
      <c r="C143" t="s">
        <v>81</v>
      </c>
      <c r="D143">
        <v>1988</v>
      </c>
      <c r="E143">
        <v>8459</v>
      </c>
      <c r="F143">
        <v>213.56</v>
      </c>
      <c r="G143">
        <v>17.37</v>
      </c>
      <c r="H143">
        <v>8</v>
      </c>
      <c r="I143">
        <v>2</v>
      </c>
      <c r="J143">
        <v>7</v>
      </c>
      <c r="K143">
        <v>5</v>
      </c>
      <c r="L143" t="s">
        <v>103</v>
      </c>
      <c r="M143" t="s">
        <v>83</v>
      </c>
      <c r="N143" t="s">
        <v>145</v>
      </c>
      <c r="O143" t="s">
        <v>166</v>
      </c>
      <c r="P143" t="s">
        <v>8</v>
      </c>
      <c r="Q143" t="s">
        <v>18</v>
      </c>
    </row>
    <row r="144" spans="1:17" x14ac:dyDescent="0.3">
      <c r="A144" t="s">
        <v>344</v>
      </c>
      <c r="B144" t="s">
        <v>702</v>
      </c>
      <c r="C144" t="s">
        <v>12</v>
      </c>
      <c r="D144">
        <v>2007</v>
      </c>
      <c r="E144">
        <v>5694</v>
      </c>
      <c r="F144">
        <v>353.19</v>
      </c>
      <c r="G144">
        <v>17.97</v>
      </c>
      <c r="H144">
        <v>8</v>
      </c>
      <c r="I144">
        <v>2</v>
      </c>
      <c r="J144">
        <v>3</v>
      </c>
      <c r="K144">
        <v>5</v>
      </c>
      <c r="L144" t="s">
        <v>235</v>
      </c>
      <c r="M144" t="s">
        <v>14</v>
      </c>
      <c r="N144" t="s">
        <v>212</v>
      </c>
      <c r="O144" t="s">
        <v>16</v>
      </c>
      <c r="P144" t="s">
        <v>29</v>
      </c>
      <c r="Q144" t="s">
        <v>18</v>
      </c>
    </row>
    <row r="145" spans="1:17" x14ac:dyDescent="0.3">
      <c r="A145" t="s">
        <v>346</v>
      </c>
      <c r="B145" t="s">
        <v>703</v>
      </c>
      <c r="C145" t="s">
        <v>81</v>
      </c>
      <c r="D145">
        <v>2008</v>
      </c>
      <c r="E145">
        <v>6234</v>
      </c>
      <c r="F145">
        <v>194.07</v>
      </c>
      <c r="G145">
        <v>16.84</v>
      </c>
      <c r="H145">
        <v>9</v>
      </c>
      <c r="I145">
        <v>7</v>
      </c>
      <c r="J145">
        <v>7</v>
      </c>
      <c r="K145">
        <v>3</v>
      </c>
      <c r="L145" t="s">
        <v>103</v>
      </c>
      <c r="M145" t="s">
        <v>83</v>
      </c>
      <c r="N145" t="s">
        <v>209</v>
      </c>
      <c r="O145" t="s">
        <v>90</v>
      </c>
      <c r="P145" t="s">
        <v>29</v>
      </c>
      <c r="Q145" t="s">
        <v>18</v>
      </c>
    </row>
    <row r="146" spans="1:17" x14ac:dyDescent="0.3">
      <c r="A146" t="s">
        <v>348</v>
      </c>
      <c r="B146" t="s">
        <v>704</v>
      </c>
      <c r="C146" t="s">
        <v>12</v>
      </c>
      <c r="D146">
        <v>1999</v>
      </c>
      <c r="E146">
        <v>7635</v>
      </c>
      <c r="F146">
        <v>340.01</v>
      </c>
      <c r="G146">
        <v>3.27</v>
      </c>
      <c r="H146">
        <v>8</v>
      </c>
      <c r="I146">
        <v>5</v>
      </c>
      <c r="J146">
        <v>7</v>
      </c>
      <c r="K146">
        <v>5</v>
      </c>
      <c r="L146" t="s">
        <v>95</v>
      </c>
      <c r="M146" t="s">
        <v>33</v>
      </c>
      <c r="N146" t="s">
        <v>212</v>
      </c>
      <c r="O146" t="s">
        <v>57</v>
      </c>
      <c r="P146" t="s">
        <v>29</v>
      </c>
      <c r="Q146" t="s">
        <v>18</v>
      </c>
    </row>
    <row r="147" spans="1:17" x14ac:dyDescent="0.3">
      <c r="A147" t="s">
        <v>350</v>
      </c>
      <c r="B147" t="s">
        <v>591</v>
      </c>
      <c r="C147" t="s">
        <v>81</v>
      </c>
      <c r="D147">
        <v>2019</v>
      </c>
      <c r="E147">
        <v>306</v>
      </c>
      <c r="F147">
        <v>127.93</v>
      </c>
      <c r="G147">
        <v>8.17</v>
      </c>
      <c r="H147">
        <v>4</v>
      </c>
      <c r="I147">
        <v>2</v>
      </c>
      <c r="J147">
        <v>7</v>
      </c>
      <c r="K147">
        <v>2</v>
      </c>
      <c r="L147" t="s">
        <v>190</v>
      </c>
      <c r="M147" t="s">
        <v>83</v>
      </c>
      <c r="N147" t="s">
        <v>209</v>
      </c>
      <c r="O147" t="s">
        <v>84</v>
      </c>
      <c r="P147" t="s">
        <v>17</v>
      </c>
      <c r="Q147" t="s">
        <v>18</v>
      </c>
    </row>
    <row r="148" spans="1:17" x14ac:dyDescent="0.3">
      <c r="A148" t="s">
        <v>351</v>
      </c>
      <c r="B148" t="s">
        <v>705</v>
      </c>
      <c r="C148" t="s">
        <v>12</v>
      </c>
      <c r="D148">
        <v>1988</v>
      </c>
      <c r="E148">
        <v>8305</v>
      </c>
      <c r="F148">
        <v>496.81</v>
      </c>
      <c r="G148">
        <v>24.57</v>
      </c>
      <c r="H148">
        <v>5</v>
      </c>
      <c r="I148">
        <v>7</v>
      </c>
      <c r="J148">
        <v>7</v>
      </c>
      <c r="K148">
        <v>4</v>
      </c>
      <c r="L148" t="s">
        <v>55</v>
      </c>
      <c r="M148" t="s">
        <v>14</v>
      </c>
      <c r="N148" t="s">
        <v>56</v>
      </c>
      <c r="O148" t="s">
        <v>57</v>
      </c>
      <c r="P148" t="s">
        <v>29</v>
      </c>
      <c r="Q148" t="s">
        <v>36</v>
      </c>
    </row>
    <row r="149" spans="1:17" x14ac:dyDescent="0.3">
      <c r="A149" t="s">
        <v>353</v>
      </c>
      <c r="B149" t="s">
        <v>613</v>
      </c>
      <c r="C149" t="s">
        <v>81</v>
      </c>
      <c r="D149">
        <v>1999</v>
      </c>
      <c r="E149">
        <v>4558</v>
      </c>
      <c r="F149">
        <v>39.869999999999997</v>
      </c>
      <c r="G149">
        <v>18.57</v>
      </c>
      <c r="H149">
        <v>8</v>
      </c>
      <c r="I149">
        <v>7</v>
      </c>
      <c r="J149">
        <v>4</v>
      </c>
      <c r="K149">
        <v>7</v>
      </c>
      <c r="L149" t="s">
        <v>190</v>
      </c>
      <c r="M149" t="s">
        <v>88</v>
      </c>
      <c r="N149" t="s">
        <v>82</v>
      </c>
      <c r="O149" t="s">
        <v>166</v>
      </c>
      <c r="P149" t="s">
        <v>17</v>
      </c>
      <c r="Q149" t="s">
        <v>9</v>
      </c>
    </row>
    <row r="150" spans="1:17" x14ac:dyDescent="0.3">
      <c r="A150" t="s">
        <v>354</v>
      </c>
      <c r="B150" t="s">
        <v>706</v>
      </c>
      <c r="C150" t="s">
        <v>81</v>
      </c>
      <c r="D150">
        <v>1989</v>
      </c>
      <c r="E150">
        <v>4963</v>
      </c>
      <c r="F150">
        <v>194.47</v>
      </c>
      <c r="G150">
        <v>24.03</v>
      </c>
      <c r="H150">
        <v>8</v>
      </c>
      <c r="I150">
        <v>5</v>
      </c>
      <c r="J150">
        <v>4</v>
      </c>
      <c r="K150">
        <v>3</v>
      </c>
      <c r="L150" t="s">
        <v>103</v>
      </c>
      <c r="M150" t="s">
        <v>104</v>
      </c>
      <c r="N150" t="s">
        <v>145</v>
      </c>
      <c r="O150" t="s">
        <v>84</v>
      </c>
      <c r="P150" t="s">
        <v>17</v>
      </c>
      <c r="Q150" t="s">
        <v>18</v>
      </c>
    </row>
    <row r="151" spans="1:17" x14ac:dyDescent="0.3">
      <c r="A151" t="s">
        <v>356</v>
      </c>
      <c r="B151" t="s">
        <v>707</v>
      </c>
      <c r="C151" t="s">
        <v>24</v>
      </c>
      <c r="D151">
        <v>2004</v>
      </c>
      <c r="E151">
        <v>4028</v>
      </c>
      <c r="F151">
        <v>134.94999999999999</v>
      </c>
      <c r="G151">
        <v>6.32</v>
      </c>
      <c r="H151">
        <v>6</v>
      </c>
      <c r="I151">
        <v>7</v>
      </c>
      <c r="J151">
        <v>3</v>
      </c>
      <c r="K151">
        <v>5</v>
      </c>
      <c r="L151" t="s">
        <v>305</v>
      </c>
      <c r="M151" t="s">
        <v>195</v>
      </c>
      <c r="N151" t="s">
        <v>132</v>
      </c>
      <c r="O151" t="s">
        <v>16</v>
      </c>
      <c r="P151" t="s">
        <v>42</v>
      </c>
      <c r="Q151" t="s">
        <v>96</v>
      </c>
    </row>
    <row r="152" spans="1:17" x14ac:dyDescent="0.3">
      <c r="A152" t="s">
        <v>358</v>
      </c>
      <c r="B152" t="s">
        <v>708</v>
      </c>
      <c r="C152" t="s">
        <v>24</v>
      </c>
      <c r="D152">
        <v>2017</v>
      </c>
      <c r="E152">
        <v>9206</v>
      </c>
      <c r="F152">
        <v>116.34</v>
      </c>
      <c r="G152">
        <v>15.87</v>
      </c>
      <c r="H152">
        <v>5</v>
      </c>
      <c r="I152">
        <v>4</v>
      </c>
      <c r="J152">
        <v>5</v>
      </c>
      <c r="K152">
        <v>2</v>
      </c>
      <c r="L152" t="s">
        <v>141</v>
      </c>
      <c r="M152" t="s">
        <v>66</v>
      </c>
      <c r="N152" t="s">
        <v>93</v>
      </c>
      <c r="O152" t="s">
        <v>68</v>
      </c>
      <c r="P152" t="s">
        <v>29</v>
      </c>
      <c r="Q152" t="s">
        <v>18</v>
      </c>
    </row>
    <row r="153" spans="1:17" x14ac:dyDescent="0.3">
      <c r="A153" t="s">
        <v>360</v>
      </c>
      <c r="B153" t="s">
        <v>709</v>
      </c>
      <c r="C153" t="s">
        <v>24</v>
      </c>
      <c r="D153">
        <v>2015</v>
      </c>
      <c r="E153">
        <v>5319</v>
      </c>
      <c r="F153">
        <v>390</v>
      </c>
      <c r="G153">
        <v>8.98</v>
      </c>
      <c r="H153">
        <v>7</v>
      </c>
      <c r="I153">
        <v>5</v>
      </c>
      <c r="J153">
        <v>7</v>
      </c>
      <c r="K153">
        <v>7</v>
      </c>
      <c r="L153" t="s">
        <v>305</v>
      </c>
      <c r="M153" t="s">
        <v>26</v>
      </c>
      <c r="N153" t="s">
        <v>67</v>
      </c>
      <c r="O153" t="s">
        <v>28</v>
      </c>
      <c r="P153" t="s">
        <v>17</v>
      </c>
      <c r="Q153" t="s">
        <v>36</v>
      </c>
    </row>
    <row r="154" spans="1:17" x14ac:dyDescent="0.3">
      <c r="A154" t="s">
        <v>362</v>
      </c>
      <c r="B154" t="s">
        <v>703</v>
      </c>
      <c r="C154" t="s">
        <v>24</v>
      </c>
      <c r="D154">
        <v>2003</v>
      </c>
      <c r="E154">
        <v>5176</v>
      </c>
      <c r="F154">
        <v>212.83</v>
      </c>
      <c r="G154">
        <v>0.89</v>
      </c>
      <c r="H154">
        <v>8</v>
      </c>
      <c r="I154">
        <v>3</v>
      </c>
      <c r="J154">
        <v>8</v>
      </c>
      <c r="K154">
        <v>3</v>
      </c>
      <c r="L154" t="s">
        <v>60</v>
      </c>
      <c r="M154" t="s">
        <v>26</v>
      </c>
      <c r="N154" t="s">
        <v>27</v>
      </c>
      <c r="O154" t="s">
        <v>28</v>
      </c>
      <c r="P154" t="s">
        <v>29</v>
      </c>
      <c r="Q154" t="s">
        <v>18</v>
      </c>
    </row>
    <row r="155" spans="1:17" x14ac:dyDescent="0.3">
      <c r="A155" t="s">
        <v>363</v>
      </c>
      <c r="B155" t="s">
        <v>710</v>
      </c>
      <c r="C155" t="s">
        <v>48</v>
      </c>
      <c r="D155">
        <v>1995</v>
      </c>
      <c r="E155">
        <v>8230</v>
      </c>
      <c r="F155">
        <v>279.81</v>
      </c>
      <c r="G155">
        <v>-0.8</v>
      </c>
      <c r="H155">
        <v>9</v>
      </c>
      <c r="I155">
        <v>4</v>
      </c>
      <c r="J155">
        <v>5</v>
      </c>
      <c r="K155">
        <v>5</v>
      </c>
      <c r="L155" t="s">
        <v>121</v>
      </c>
      <c r="M155" t="s">
        <v>154</v>
      </c>
      <c r="N155" t="s">
        <v>218</v>
      </c>
      <c r="O155" t="s">
        <v>52</v>
      </c>
      <c r="P155" t="s">
        <v>29</v>
      </c>
      <c r="Q155" t="s">
        <v>18</v>
      </c>
    </row>
    <row r="156" spans="1:17" x14ac:dyDescent="0.3">
      <c r="A156" t="s">
        <v>365</v>
      </c>
      <c r="B156" t="s">
        <v>681</v>
      </c>
      <c r="C156" t="s">
        <v>24</v>
      </c>
      <c r="D156">
        <v>2014</v>
      </c>
      <c r="E156">
        <v>1012</v>
      </c>
      <c r="F156">
        <v>266.73</v>
      </c>
      <c r="G156">
        <v>-4.7300000000000004</v>
      </c>
      <c r="H156">
        <v>4</v>
      </c>
      <c r="I156">
        <v>7</v>
      </c>
      <c r="J156">
        <v>3</v>
      </c>
      <c r="K156">
        <v>2</v>
      </c>
      <c r="L156" t="s">
        <v>25</v>
      </c>
      <c r="M156" t="s">
        <v>66</v>
      </c>
      <c r="N156" t="s">
        <v>132</v>
      </c>
      <c r="O156" t="s">
        <v>16</v>
      </c>
      <c r="P156" t="s">
        <v>29</v>
      </c>
      <c r="Q156" t="s">
        <v>9</v>
      </c>
    </row>
    <row r="157" spans="1:17" x14ac:dyDescent="0.3">
      <c r="A157" t="s">
        <v>366</v>
      </c>
      <c r="B157" t="s">
        <v>711</v>
      </c>
      <c r="C157" t="s">
        <v>3</v>
      </c>
      <c r="D157">
        <v>1983</v>
      </c>
      <c r="E157">
        <v>7966</v>
      </c>
      <c r="F157">
        <v>333.05</v>
      </c>
      <c r="G157">
        <v>-4.49</v>
      </c>
      <c r="H157">
        <v>4</v>
      </c>
      <c r="I157">
        <v>2</v>
      </c>
      <c r="J157">
        <v>7</v>
      </c>
      <c r="K157">
        <v>6</v>
      </c>
      <c r="L157" t="s">
        <v>39</v>
      </c>
      <c r="M157" t="s">
        <v>77</v>
      </c>
      <c r="N157" t="s">
        <v>6</v>
      </c>
      <c r="O157" t="s">
        <v>78</v>
      </c>
      <c r="P157" t="s">
        <v>42</v>
      </c>
      <c r="Q157" t="s">
        <v>36</v>
      </c>
    </row>
    <row r="158" spans="1:17" x14ac:dyDescent="0.3">
      <c r="A158" t="s">
        <v>586</v>
      </c>
      <c r="B158" t="s">
        <v>712</v>
      </c>
      <c r="C158" t="s">
        <v>12</v>
      </c>
      <c r="D158">
        <v>1986</v>
      </c>
      <c r="E158">
        <v>8641</v>
      </c>
      <c r="F158">
        <v>82.96</v>
      </c>
      <c r="G158">
        <v>23.78</v>
      </c>
      <c r="H158">
        <v>5</v>
      </c>
      <c r="I158">
        <v>6</v>
      </c>
      <c r="J158">
        <v>7</v>
      </c>
      <c r="K158">
        <v>4</v>
      </c>
      <c r="L158" t="s">
        <v>32</v>
      </c>
      <c r="M158" t="s">
        <v>14</v>
      </c>
      <c r="N158" t="s">
        <v>212</v>
      </c>
      <c r="O158" t="s">
        <v>35</v>
      </c>
      <c r="P158" t="s">
        <v>42</v>
      </c>
      <c r="Q158" t="s">
        <v>36</v>
      </c>
    </row>
    <row r="159" spans="1:17" x14ac:dyDescent="0.3">
      <c r="A159" t="s">
        <v>370</v>
      </c>
      <c r="B159" t="s">
        <v>594</v>
      </c>
      <c r="C159" t="s">
        <v>24</v>
      </c>
      <c r="D159">
        <v>1994</v>
      </c>
      <c r="E159">
        <v>4964</v>
      </c>
      <c r="F159">
        <v>345.18</v>
      </c>
      <c r="G159">
        <v>-3.32</v>
      </c>
      <c r="H159">
        <v>4</v>
      </c>
      <c r="I159">
        <v>7</v>
      </c>
      <c r="J159">
        <v>8</v>
      </c>
      <c r="K159">
        <v>2</v>
      </c>
      <c r="L159" t="s">
        <v>60</v>
      </c>
      <c r="M159" t="s">
        <v>131</v>
      </c>
      <c r="N159" t="s">
        <v>27</v>
      </c>
      <c r="O159" t="s">
        <v>68</v>
      </c>
      <c r="P159" t="s">
        <v>17</v>
      </c>
      <c r="Q159" t="s">
        <v>36</v>
      </c>
    </row>
    <row r="160" spans="1:17" x14ac:dyDescent="0.3">
      <c r="A160" t="s">
        <v>371</v>
      </c>
      <c r="B160" t="s">
        <v>713</v>
      </c>
      <c r="C160" t="s">
        <v>12</v>
      </c>
      <c r="D160">
        <v>2011</v>
      </c>
      <c r="E160">
        <v>7159</v>
      </c>
      <c r="F160">
        <v>326</v>
      </c>
      <c r="G160">
        <v>-3.6</v>
      </c>
      <c r="H160">
        <v>6</v>
      </c>
      <c r="I160">
        <v>6</v>
      </c>
      <c r="J160">
        <v>3</v>
      </c>
      <c r="K160">
        <v>6</v>
      </c>
      <c r="L160" t="s">
        <v>235</v>
      </c>
      <c r="M160" t="s">
        <v>33</v>
      </c>
      <c r="N160" t="s">
        <v>56</v>
      </c>
      <c r="O160" t="s">
        <v>74</v>
      </c>
      <c r="P160" t="s">
        <v>42</v>
      </c>
      <c r="Q160" t="s">
        <v>96</v>
      </c>
    </row>
    <row r="161" spans="1:17" x14ac:dyDescent="0.3">
      <c r="A161" t="s">
        <v>373</v>
      </c>
      <c r="B161" t="s">
        <v>667</v>
      </c>
      <c r="C161" t="s">
        <v>48</v>
      </c>
      <c r="D161">
        <v>2016</v>
      </c>
      <c r="E161">
        <v>589</v>
      </c>
      <c r="F161">
        <v>97.88</v>
      </c>
      <c r="G161">
        <v>11.92</v>
      </c>
      <c r="H161">
        <v>6</v>
      </c>
      <c r="I161">
        <v>2</v>
      </c>
      <c r="J161">
        <v>4</v>
      </c>
      <c r="K161">
        <v>6</v>
      </c>
      <c r="L161" t="s">
        <v>60</v>
      </c>
      <c r="M161" t="s">
        <v>154</v>
      </c>
      <c r="N161" t="s">
        <v>61</v>
      </c>
      <c r="O161" t="s">
        <v>52</v>
      </c>
      <c r="P161" t="s">
        <v>29</v>
      </c>
      <c r="Q161" t="s">
        <v>36</v>
      </c>
    </row>
    <row r="162" spans="1:17" x14ac:dyDescent="0.3">
      <c r="A162" t="s">
        <v>374</v>
      </c>
      <c r="B162" t="s">
        <v>714</v>
      </c>
      <c r="C162" t="s">
        <v>48</v>
      </c>
      <c r="D162">
        <v>2001</v>
      </c>
      <c r="E162">
        <v>6338</v>
      </c>
      <c r="F162">
        <v>380.25</v>
      </c>
      <c r="G162">
        <v>1.96</v>
      </c>
      <c r="H162">
        <v>5</v>
      </c>
      <c r="I162">
        <v>7</v>
      </c>
      <c r="J162">
        <v>8</v>
      </c>
      <c r="K162">
        <v>2</v>
      </c>
      <c r="L162" t="s">
        <v>51</v>
      </c>
      <c r="M162" t="s">
        <v>99</v>
      </c>
      <c r="N162" t="s">
        <v>61</v>
      </c>
      <c r="O162" t="s">
        <v>106</v>
      </c>
      <c r="P162" t="s">
        <v>17</v>
      </c>
      <c r="Q162" t="s">
        <v>18</v>
      </c>
    </row>
    <row r="163" spans="1:17" x14ac:dyDescent="0.3">
      <c r="A163" t="s">
        <v>376</v>
      </c>
      <c r="B163" t="s">
        <v>715</v>
      </c>
      <c r="C163" t="s">
        <v>48</v>
      </c>
      <c r="D163">
        <v>2019</v>
      </c>
      <c r="E163">
        <v>9808</v>
      </c>
      <c r="F163">
        <v>204.38</v>
      </c>
      <c r="G163">
        <v>7.96</v>
      </c>
      <c r="H163">
        <v>6</v>
      </c>
      <c r="I163">
        <v>2</v>
      </c>
      <c r="J163">
        <v>8</v>
      </c>
      <c r="K163">
        <v>4</v>
      </c>
      <c r="L163" t="s">
        <v>121</v>
      </c>
      <c r="M163" t="s">
        <v>154</v>
      </c>
      <c r="N163" t="s">
        <v>218</v>
      </c>
      <c r="O163" t="s">
        <v>52</v>
      </c>
      <c r="P163" t="s">
        <v>17</v>
      </c>
      <c r="Q163" t="s">
        <v>18</v>
      </c>
    </row>
    <row r="164" spans="1:17" x14ac:dyDescent="0.3">
      <c r="A164" t="s">
        <v>378</v>
      </c>
      <c r="B164" t="s">
        <v>604</v>
      </c>
      <c r="C164" t="s">
        <v>12</v>
      </c>
      <c r="D164">
        <v>2019</v>
      </c>
      <c r="E164">
        <v>4889</v>
      </c>
      <c r="F164">
        <v>401.05</v>
      </c>
      <c r="G164">
        <v>5.82</v>
      </c>
      <c r="H164">
        <v>9</v>
      </c>
      <c r="I164">
        <v>2</v>
      </c>
      <c r="J164">
        <v>3</v>
      </c>
      <c r="K164">
        <v>4</v>
      </c>
      <c r="L164" t="s">
        <v>95</v>
      </c>
      <c r="M164" t="s">
        <v>73</v>
      </c>
      <c r="N164" t="s">
        <v>56</v>
      </c>
      <c r="O164" t="s">
        <v>74</v>
      </c>
      <c r="P164" t="s">
        <v>42</v>
      </c>
      <c r="Q164" t="s">
        <v>18</v>
      </c>
    </row>
    <row r="165" spans="1:17" x14ac:dyDescent="0.3">
      <c r="A165" t="s">
        <v>379</v>
      </c>
      <c r="B165" t="s">
        <v>600</v>
      </c>
      <c r="C165" t="s">
        <v>3</v>
      </c>
      <c r="D165">
        <v>2008</v>
      </c>
      <c r="E165">
        <v>5946</v>
      </c>
      <c r="F165">
        <v>383.06</v>
      </c>
      <c r="G165">
        <v>-2.31</v>
      </c>
      <c r="H165">
        <v>4</v>
      </c>
      <c r="I165">
        <v>3</v>
      </c>
      <c r="J165">
        <v>3</v>
      </c>
      <c r="K165">
        <v>3</v>
      </c>
      <c r="L165" t="s">
        <v>39</v>
      </c>
      <c r="M165" t="s">
        <v>5</v>
      </c>
      <c r="N165" t="s">
        <v>40</v>
      </c>
      <c r="O165" t="s">
        <v>7</v>
      </c>
      <c r="P165" t="s">
        <v>8</v>
      </c>
      <c r="Q165" t="s">
        <v>36</v>
      </c>
    </row>
    <row r="166" spans="1:17" x14ac:dyDescent="0.3">
      <c r="A166" t="s">
        <v>380</v>
      </c>
      <c r="B166" t="s">
        <v>716</v>
      </c>
      <c r="C166" t="s">
        <v>48</v>
      </c>
      <c r="D166">
        <v>2018</v>
      </c>
      <c r="E166">
        <v>5365</v>
      </c>
      <c r="F166">
        <v>433.22</v>
      </c>
      <c r="G166">
        <v>-0.83</v>
      </c>
      <c r="H166">
        <v>4</v>
      </c>
      <c r="I166">
        <v>4</v>
      </c>
      <c r="J166">
        <v>6</v>
      </c>
      <c r="K166">
        <v>5</v>
      </c>
      <c r="L166" t="s">
        <v>49</v>
      </c>
      <c r="M166" t="s">
        <v>14</v>
      </c>
      <c r="N166" t="s">
        <v>218</v>
      </c>
      <c r="O166" t="s">
        <v>62</v>
      </c>
      <c r="P166" t="s">
        <v>29</v>
      </c>
      <c r="Q166" t="s">
        <v>36</v>
      </c>
    </row>
    <row r="167" spans="1:17" x14ac:dyDescent="0.3">
      <c r="A167" t="s">
        <v>382</v>
      </c>
      <c r="B167" t="s">
        <v>717</v>
      </c>
      <c r="C167" t="s">
        <v>81</v>
      </c>
      <c r="D167">
        <v>1989</v>
      </c>
      <c r="E167">
        <v>1086</v>
      </c>
      <c r="F167">
        <v>91.93</v>
      </c>
      <c r="G167">
        <v>12.81</v>
      </c>
      <c r="H167">
        <v>6</v>
      </c>
      <c r="I167">
        <v>5</v>
      </c>
      <c r="J167">
        <v>5</v>
      </c>
      <c r="K167">
        <v>5</v>
      </c>
      <c r="L167" t="s">
        <v>87</v>
      </c>
      <c r="M167" t="s">
        <v>139</v>
      </c>
      <c r="N167" t="s">
        <v>89</v>
      </c>
      <c r="O167" t="s">
        <v>111</v>
      </c>
      <c r="P167" t="s">
        <v>17</v>
      </c>
      <c r="Q167" t="s">
        <v>36</v>
      </c>
    </row>
    <row r="168" spans="1:17" x14ac:dyDescent="0.3">
      <c r="A168" t="s">
        <v>384</v>
      </c>
      <c r="B168" t="s">
        <v>718</v>
      </c>
      <c r="C168" t="s">
        <v>12</v>
      </c>
      <c r="D168">
        <v>1988</v>
      </c>
      <c r="E168">
        <v>5041</v>
      </c>
      <c r="F168">
        <v>13.32</v>
      </c>
      <c r="G168">
        <v>4.01</v>
      </c>
      <c r="H168">
        <v>7</v>
      </c>
      <c r="I168">
        <v>4</v>
      </c>
      <c r="J168">
        <v>7</v>
      </c>
      <c r="K168">
        <v>5</v>
      </c>
      <c r="L168" t="s">
        <v>32</v>
      </c>
      <c r="M168" t="s">
        <v>73</v>
      </c>
      <c r="N168" t="s">
        <v>34</v>
      </c>
      <c r="O168" t="s">
        <v>74</v>
      </c>
      <c r="P168" t="s">
        <v>29</v>
      </c>
      <c r="Q168" t="s">
        <v>18</v>
      </c>
    </row>
    <row r="169" spans="1:17" x14ac:dyDescent="0.3">
      <c r="A169" t="s">
        <v>386</v>
      </c>
      <c r="B169" t="s">
        <v>719</v>
      </c>
      <c r="C169" t="s">
        <v>3</v>
      </c>
      <c r="D169">
        <v>1991</v>
      </c>
      <c r="E169">
        <v>6574</v>
      </c>
      <c r="F169">
        <v>484.68</v>
      </c>
      <c r="G169">
        <v>19.489999999999998</v>
      </c>
      <c r="H169">
        <v>6</v>
      </c>
      <c r="I169">
        <v>7</v>
      </c>
      <c r="J169">
        <v>8</v>
      </c>
      <c r="K169">
        <v>7</v>
      </c>
      <c r="L169" t="s">
        <v>39</v>
      </c>
      <c r="M169" t="s">
        <v>115</v>
      </c>
      <c r="N169" t="s">
        <v>173</v>
      </c>
      <c r="O169" t="s">
        <v>21</v>
      </c>
      <c r="P169" t="s">
        <v>42</v>
      </c>
      <c r="Q169" t="s">
        <v>9</v>
      </c>
    </row>
    <row r="170" spans="1:17" x14ac:dyDescent="0.3">
      <c r="A170" t="s">
        <v>388</v>
      </c>
      <c r="B170" t="s">
        <v>720</v>
      </c>
      <c r="C170" t="s">
        <v>12</v>
      </c>
      <c r="D170">
        <v>2016</v>
      </c>
      <c r="E170">
        <v>3323</v>
      </c>
      <c r="F170">
        <v>300.19</v>
      </c>
      <c r="G170">
        <v>19.940000000000001</v>
      </c>
      <c r="H170">
        <v>8</v>
      </c>
      <c r="I170">
        <v>3</v>
      </c>
      <c r="J170">
        <v>8</v>
      </c>
      <c r="K170">
        <v>6</v>
      </c>
      <c r="L170" t="s">
        <v>235</v>
      </c>
      <c r="M170" t="s">
        <v>73</v>
      </c>
      <c r="N170" t="s">
        <v>56</v>
      </c>
      <c r="O170" t="s">
        <v>74</v>
      </c>
      <c r="P170" t="s">
        <v>42</v>
      </c>
      <c r="Q170" t="s">
        <v>18</v>
      </c>
    </row>
    <row r="171" spans="1:17" x14ac:dyDescent="0.3">
      <c r="A171" t="s">
        <v>390</v>
      </c>
      <c r="B171" t="s">
        <v>721</v>
      </c>
      <c r="C171" t="s">
        <v>81</v>
      </c>
      <c r="D171">
        <v>1988</v>
      </c>
      <c r="E171">
        <v>5011</v>
      </c>
      <c r="F171">
        <v>128.59</v>
      </c>
      <c r="G171">
        <v>11.03</v>
      </c>
      <c r="H171">
        <v>9</v>
      </c>
      <c r="I171">
        <v>3</v>
      </c>
      <c r="J171">
        <v>8</v>
      </c>
      <c r="K171">
        <v>5</v>
      </c>
      <c r="L171" t="s">
        <v>190</v>
      </c>
      <c r="M171" t="s">
        <v>83</v>
      </c>
      <c r="N171" t="s">
        <v>145</v>
      </c>
      <c r="O171" t="s">
        <v>90</v>
      </c>
      <c r="P171" t="s">
        <v>17</v>
      </c>
      <c r="Q171" t="s">
        <v>18</v>
      </c>
    </row>
    <row r="172" spans="1:17" x14ac:dyDescent="0.3">
      <c r="A172" t="s">
        <v>392</v>
      </c>
      <c r="B172" t="s">
        <v>644</v>
      </c>
      <c r="C172" t="s">
        <v>12</v>
      </c>
      <c r="D172">
        <v>2003</v>
      </c>
      <c r="E172">
        <v>8846</v>
      </c>
      <c r="F172">
        <v>300.97000000000003</v>
      </c>
      <c r="G172">
        <v>23.97</v>
      </c>
      <c r="H172">
        <v>4</v>
      </c>
      <c r="I172">
        <v>2</v>
      </c>
      <c r="J172">
        <v>4</v>
      </c>
      <c r="K172">
        <v>7</v>
      </c>
      <c r="L172" t="s">
        <v>32</v>
      </c>
      <c r="M172" t="s">
        <v>33</v>
      </c>
      <c r="N172" t="s">
        <v>15</v>
      </c>
      <c r="O172" t="s">
        <v>74</v>
      </c>
      <c r="P172" t="s">
        <v>42</v>
      </c>
      <c r="Q172" t="s">
        <v>9</v>
      </c>
    </row>
    <row r="173" spans="1:17" x14ac:dyDescent="0.3">
      <c r="A173" t="s">
        <v>393</v>
      </c>
      <c r="B173" t="s">
        <v>708</v>
      </c>
      <c r="C173" t="s">
        <v>12</v>
      </c>
      <c r="D173">
        <v>1986</v>
      </c>
      <c r="E173">
        <v>4289</v>
      </c>
      <c r="F173">
        <v>118.78</v>
      </c>
      <c r="G173">
        <v>8.89</v>
      </c>
      <c r="H173">
        <v>9</v>
      </c>
      <c r="I173">
        <v>6</v>
      </c>
      <c r="J173">
        <v>7</v>
      </c>
      <c r="K173">
        <v>6</v>
      </c>
      <c r="L173" t="s">
        <v>55</v>
      </c>
      <c r="M173" t="s">
        <v>33</v>
      </c>
      <c r="N173" t="s">
        <v>212</v>
      </c>
      <c r="O173" t="s">
        <v>57</v>
      </c>
      <c r="P173" t="s">
        <v>17</v>
      </c>
      <c r="Q173" t="s">
        <v>18</v>
      </c>
    </row>
    <row r="174" spans="1:17" x14ac:dyDescent="0.3">
      <c r="A174" t="s">
        <v>394</v>
      </c>
      <c r="B174" t="s">
        <v>722</v>
      </c>
      <c r="C174" t="s">
        <v>3</v>
      </c>
      <c r="D174">
        <v>1981</v>
      </c>
      <c r="E174">
        <v>7959</v>
      </c>
      <c r="F174">
        <v>61.23</v>
      </c>
      <c r="G174">
        <v>18.53</v>
      </c>
      <c r="H174">
        <v>7</v>
      </c>
      <c r="I174">
        <v>2</v>
      </c>
      <c r="J174">
        <v>3</v>
      </c>
      <c r="K174">
        <v>7</v>
      </c>
      <c r="L174" t="s">
        <v>103</v>
      </c>
      <c r="M174" t="s">
        <v>157</v>
      </c>
      <c r="N174" t="s">
        <v>173</v>
      </c>
      <c r="O174" t="s">
        <v>78</v>
      </c>
      <c r="P174" t="s">
        <v>17</v>
      </c>
      <c r="Q174" t="s">
        <v>36</v>
      </c>
    </row>
    <row r="175" spans="1:17" x14ac:dyDescent="0.3">
      <c r="A175" t="s">
        <v>396</v>
      </c>
      <c r="B175" t="s">
        <v>723</v>
      </c>
      <c r="C175" t="s">
        <v>3</v>
      </c>
      <c r="D175">
        <v>2010</v>
      </c>
      <c r="E175">
        <v>1649</v>
      </c>
      <c r="F175">
        <v>224.7</v>
      </c>
      <c r="G175">
        <v>14.44</v>
      </c>
      <c r="H175">
        <v>9</v>
      </c>
      <c r="I175">
        <v>5</v>
      </c>
      <c r="J175">
        <v>5</v>
      </c>
      <c r="K175">
        <v>2</v>
      </c>
      <c r="L175" t="s">
        <v>161</v>
      </c>
      <c r="M175" t="s">
        <v>77</v>
      </c>
      <c r="N175" t="s">
        <v>6</v>
      </c>
      <c r="O175" t="s">
        <v>7</v>
      </c>
      <c r="P175" t="s">
        <v>42</v>
      </c>
      <c r="Q175" t="s">
        <v>18</v>
      </c>
    </row>
    <row r="176" spans="1:17" x14ac:dyDescent="0.3">
      <c r="A176" t="s">
        <v>398</v>
      </c>
      <c r="B176" t="s">
        <v>724</v>
      </c>
      <c r="C176" t="s">
        <v>48</v>
      </c>
      <c r="D176">
        <v>1991</v>
      </c>
      <c r="E176">
        <v>9092</v>
      </c>
      <c r="F176">
        <v>88.47</v>
      </c>
      <c r="G176">
        <v>-4.12</v>
      </c>
      <c r="H176">
        <v>8</v>
      </c>
      <c r="I176">
        <v>5</v>
      </c>
      <c r="J176">
        <v>6</v>
      </c>
      <c r="K176">
        <v>3</v>
      </c>
      <c r="L176" t="s">
        <v>121</v>
      </c>
      <c r="M176" t="s">
        <v>14</v>
      </c>
      <c r="N176" t="s">
        <v>218</v>
      </c>
      <c r="O176" t="s">
        <v>62</v>
      </c>
      <c r="P176" t="s">
        <v>17</v>
      </c>
      <c r="Q176" t="s">
        <v>18</v>
      </c>
    </row>
    <row r="177" spans="1:17" x14ac:dyDescent="0.3">
      <c r="A177" t="s">
        <v>400</v>
      </c>
      <c r="B177" t="s">
        <v>725</v>
      </c>
      <c r="C177" t="s">
        <v>48</v>
      </c>
      <c r="D177">
        <v>2007</v>
      </c>
      <c r="E177">
        <v>6420</v>
      </c>
      <c r="F177">
        <v>12.18</v>
      </c>
      <c r="G177">
        <v>0.91</v>
      </c>
      <c r="H177">
        <v>5</v>
      </c>
      <c r="I177">
        <v>3</v>
      </c>
      <c r="J177">
        <v>5</v>
      </c>
      <c r="K177">
        <v>7</v>
      </c>
      <c r="L177" t="s">
        <v>49</v>
      </c>
      <c r="M177" t="s">
        <v>50</v>
      </c>
      <c r="N177" t="s">
        <v>218</v>
      </c>
      <c r="O177" t="s">
        <v>52</v>
      </c>
      <c r="P177" t="s">
        <v>42</v>
      </c>
      <c r="Q177" t="s">
        <v>9</v>
      </c>
    </row>
    <row r="178" spans="1:17" x14ac:dyDescent="0.3">
      <c r="A178" t="s">
        <v>402</v>
      </c>
      <c r="B178" t="s">
        <v>726</v>
      </c>
      <c r="C178" t="s">
        <v>81</v>
      </c>
      <c r="D178">
        <v>2013</v>
      </c>
      <c r="E178">
        <v>5184</v>
      </c>
      <c r="F178">
        <v>302.52</v>
      </c>
      <c r="G178">
        <v>22.56</v>
      </c>
      <c r="H178">
        <v>8</v>
      </c>
      <c r="I178">
        <v>5</v>
      </c>
      <c r="J178">
        <v>7</v>
      </c>
      <c r="K178">
        <v>2</v>
      </c>
      <c r="L178" t="s">
        <v>103</v>
      </c>
      <c r="M178" t="s">
        <v>139</v>
      </c>
      <c r="N178" t="s">
        <v>145</v>
      </c>
      <c r="O178" t="s">
        <v>111</v>
      </c>
      <c r="P178" t="s">
        <v>42</v>
      </c>
      <c r="Q178" t="s">
        <v>18</v>
      </c>
    </row>
    <row r="179" spans="1:17" x14ac:dyDescent="0.3">
      <c r="A179" t="s">
        <v>404</v>
      </c>
      <c r="B179" t="s">
        <v>727</v>
      </c>
      <c r="C179" t="s">
        <v>3</v>
      </c>
      <c r="D179">
        <v>1987</v>
      </c>
      <c r="E179">
        <v>3958</v>
      </c>
      <c r="F179">
        <v>159.63999999999999</v>
      </c>
      <c r="G179">
        <v>7.69</v>
      </c>
      <c r="H179">
        <v>5</v>
      </c>
      <c r="I179">
        <v>4</v>
      </c>
      <c r="J179">
        <v>8</v>
      </c>
      <c r="K179">
        <v>3</v>
      </c>
      <c r="L179" t="s">
        <v>45</v>
      </c>
      <c r="M179" t="s">
        <v>5</v>
      </c>
      <c r="N179" t="s">
        <v>40</v>
      </c>
      <c r="O179" t="s">
        <v>41</v>
      </c>
      <c r="P179" t="s">
        <v>17</v>
      </c>
      <c r="Q179" t="s">
        <v>18</v>
      </c>
    </row>
    <row r="180" spans="1:17" x14ac:dyDescent="0.3">
      <c r="A180" t="s">
        <v>406</v>
      </c>
      <c r="B180" t="s">
        <v>728</v>
      </c>
      <c r="C180" t="s">
        <v>24</v>
      </c>
      <c r="D180">
        <v>2015</v>
      </c>
      <c r="E180">
        <v>2783</v>
      </c>
      <c r="F180">
        <v>249.92</v>
      </c>
      <c r="G180">
        <v>-0.9</v>
      </c>
      <c r="H180">
        <v>5</v>
      </c>
      <c r="I180">
        <v>3</v>
      </c>
      <c r="J180">
        <v>5</v>
      </c>
      <c r="K180">
        <v>5</v>
      </c>
      <c r="L180" t="s">
        <v>65</v>
      </c>
      <c r="M180" t="s">
        <v>195</v>
      </c>
      <c r="N180" t="s">
        <v>67</v>
      </c>
      <c r="O180" t="s">
        <v>16</v>
      </c>
      <c r="P180" t="s">
        <v>17</v>
      </c>
      <c r="Q180" t="s">
        <v>36</v>
      </c>
    </row>
    <row r="181" spans="1:17" x14ac:dyDescent="0.3">
      <c r="A181" t="s">
        <v>408</v>
      </c>
      <c r="B181" t="s">
        <v>620</v>
      </c>
      <c r="C181" t="s">
        <v>48</v>
      </c>
      <c r="D181">
        <v>2011</v>
      </c>
      <c r="E181">
        <v>6753</v>
      </c>
      <c r="F181">
        <v>345.5</v>
      </c>
      <c r="G181">
        <v>-4.0199999999999996</v>
      </c>
      <c r="H181">
        <v>7</v>
      </c>
      <c r="I181">
        <v>7</v>
      </c>
      <c r="J181">
        <v>6</v>
      </c>
      <c r="K181">
        <v>5</v>
      </c>
      <c r="L181" t="s">
        <v>60</v>
      </c>
      <c r="M181" t="s">
        <v>50</v>
      </c>
      <c r="N181" t="s">
        <v>61</v>
      </c>
      <c r="O181" t="s">
        <v>100</v>
      </c>
      <c r="P181" t="s">
        <v>42</v>
      </c>
      <c r="Q181" t="s">
        <v>36</v>
      </c>
    </row>
    <row r="182" spans="1:17" x14ac:dyDescent="0.3">
      <c r="A182" t="s">
        <v>409</v>
      </c>
      <c r="B182" t="s">
        <v>729</v>
      </c>
      <c r="C182" t="s">
        <v>3</v>
      </c>
      <c r="D182">
        <v>1990</v>
      </c>
      <c r="E182">
        <v>7542</v>
      </c>
      <c r="F182">
        <v>287.17</v>
      </c>
      <c r="G182">
        <v>17.8</v>
      </c>
      <c r="H182">
        <v>7</v>
      </c>
      <c r="I182">
        <v>6</v>
      </c>
      <c r="J182">
        <v>7</v>
      </c>
      <c r="K182">
        <v>2</v>
      </c>
      <c r="L182" t="s">
        <v>45</v>
      </c>
      <c r="M182" t="s">
        <v>77</v>
      </c>
      <c r="N182" t="s">
        <v>173</v>
      </c>
      <c r="O182" t="s">
        <v>78</v>
      </c>
      <c r="P182" t="s">
        <v>8</v>
      </c>
      <c r="Q182" t="s">
        <v>18</v>
      </c>
    </row>
    <row r="183" spans="1:17" x14ac:dyDescent="0.3">
      <c r="A183" t="s">
        <v>411</v>
      </c>
      <c r="B183" t="s">
        <v>647</v>
      </c>
      <c r="C183" t="s">
        <v>24</v>
      </c>
      <c r="D183">
        <v>2007</v>
      </c>
      <c r="E183">
        <v>1727</v>
      </c>
      <c r="F183">
        <v>370.63</v>
      </c>
      <c r="G183">
        <v>20.96</v>
      </c>
      <c r="H183">
        <v>9</v>
      </c>
      <c r="I183">
        <v>3</v>
      </c>
      <c r="J183">
        <v>5</v>
      </c>
      <c r="K183">
        <v>2</v>
      </c>
      <c r="L183" t="s">
        <v>25</v>
      </c>
      <c r="M183" t="s">
        <v>26</v>
      </c>
      <c r="N183" t="s">
        <v>67</v>
      </c>
      <c r="O183" t="s">
        <v>16</v>
      </c>
      <c r="P183" t="s">
        <v>17</v>
      </c>
      <c r="Q183" t="s">
        <v>18</v>
      </c>
    </row>
    <row r="184" spans="1:17" x14ac:dyDescent="0.3">
      <c r="A184" t="s">
        <v>412</v>
      </c>
      <c r="B184" t="s">
        <v>685</v>
      </c>
      <c r="C184" t="s">
        <v>24</v>
      </c>
      <c r="D184">
        <v>2017</v>
      </c>
      <c r="E184">
        <v>5794</v>
      </c>
      <c r="F184">
        <v>431.91</v>
      </c>
      <c r="G184">
        <v>12.1</v>
      </c>
      <c r="H184">
        <v>8</v>
      </c>
      <c r="I184">
        <v>7</v>
      </c>
      <c r="J184">
        <v>6</v>
      </c>
      <c r="K184">
        <v>3</v>
      </c>
      <c r="L184" t="s">
        <v>65</v>
      </c>
      <c r="M184" t="s">
        <v>66</v>
      </c>
      <c r="N184" t="s">
        <v>132</v>
      </c>
      <c r="O184" t="s">
        <v>200</v>
      </c>
      <c r="P184" t="s">
        <v>8</v>
      </c>
      <c r="Q184" t="s">
        <v>18</v>
      </c>
    </row>
    <row r="185" spans="1:17" x14ac:dyDescent="0.3">
      <c r="A185" t="s">
        <v>413</v>
      </c>
      <c r="B185" t="s">
        <v>682</v>
      </c>
      <c r="C185" t="s">
        <v>48</v>
      </c>
      <c r="D185">
        <v>2014</v>
      </c>
      <c r="E185">
        <v>2808</v>
      </c>
      <c r="F185">
        <v>168.59</v>
      </c>
      <c r="G185">
        <v>24.77</v>
      </c>
      <c r="H185">
        <v>9</v>
      </c>
      <c r="I185">
        <v>4</v>
      </c>
      <c r="J185">
        <v>5</v>
      </c>
      <c r="K185">
        <v>6</v>
      </c>
      <c r="L185" t="s">
        <v>124</v>
      </c>
      <c r="M185" t="s">
        <v>50</v>
      </c>
      <c r="N185" t="s">
        <v>218</v>
      </c>
      <c r="O185" t="s">
        <v>62</v>
      </c>
      <c r="P185" t="s">
        <v>8</v>
      </c>
      <c r="Q185" t="s">
        <v>18</v>
      </c>
    </row>
    <row r="186" spans="1:17" x14ac:dyDescent="0.3">
      <c r="A186" t="s">
        <v>414</v>
      </c>
      <c r="B186" t="s">
        <v>675</v>
      </c>
      <c r="C186" t="s">
        <v>24</v>
      </c>
      <c r="D186">
        <v>1989</v>
      </c>
      <c r="E186">
        <v>5327</v>
      </c>
      <c r="F186">
        <v>415.96</v>
      </c>
      <c r="G186">
        <v>-2.73</v>
      </c>
      <c r="H186">
        <v>9</v>
      </c>
      <c r="I186">
        <v>5</v>
      </c>
      <c r="J186">
        <v>6</v>
      </c>
      <c r="K186">
        <v>3</v>
      </c>
      <c r="L186" t="s">
        <v>65</v>
      </c>
      <c r="M186" t="s">
        <v>26</v>
      </c>
      <c r="N186" t="s">
        <v>27</v>
      </c>
      <c r="O186" t="s">
        <v>68</v>
      </c>
      <c r="P186" t="s">
        <v>17</v>
      </c>
      <c r="Q186" t="s">
        <v>18</v>
      </c>
    </row>
    <row r="187" spans="1:17" x14ac:dyDescent="0.3">
      <c r="A187" t="s">
        <v>415</v>
      </c>
      <c r="B187" t="s">
        <v>730</v>
      </c>
      <c r="C187" t="s">
        <v>48</v>
      </c>
      <c r="D187">
        <v>1997</v>
      </c>
      <c r="E187">
        <v>6096</v>
      </c>
      <c r="F187">
        <v>232.8</v>
      </c>
      <c r="G187">
        <v>1.53</v>
      </c>
      <c r="H187">
        <v>7</v>
      </c>
      <c r="I187">
        <v>4</v>
      </c>
      <c r="J187">
        <v>7</v>
      </c>
      <c r="K187">
        <v>2</v>
      </c>
      <c r="L187" t="s">
        <v>49</v>
      </c>
      <c r="M187" t="s">
        <v>154</v>
      </c>
      <c r="N187" t="s">
        <v>51</v>
      </c>
      <c r="O187" t="s">
        <v>106</v>
      </c>
      <c r="P187" t="s">
        <v>17</v>
      </c>
      <c r="Q187" t="s">
        <v>18</v>
      </c>
    </row>
    <row r="188" spans="1:17" x14ac:dyDescent="0.3">
      <c r="A188" t="s">
        <v>417</v>
      </c>
      <c r="B188" t="s">
        <v>731</v>
      </c>
      <c r="C188" t="s">
        <v>81</v>
      </c>
      <c r="D188">
        <v>1997</v>
      </c>
      <c r="E188">
        <v>5339</v>
      </c>
      <c r="F188">
        <v>415.89</v>
      </c>
      <c r="G188">
        <v>-2.0099999999999998</v>
      </c>
      <c r="H188">
        <v>6</v>
      </c>
      <c r="I188">
        <v>6</v>
      </c>
      <c r="J188">
        <v>7</v>
      </c>
      <c r="K188">
        <v>3</v>
      </c>
      <c r="L188" t="s">
        <v>82</v>
      </c>
      <c r="M188" t="s">
        <v>88</v>
      </c>
      <c r="N188" t="s">
        <v>89</v>
      </c>
      <c r="O188" t="s">
        <v>84</v>
      </c>
      <c r="P188" t="s">
        <v>8</v>
      </c>
      <c r="Q188" t="s">
        <v>18</v>
      </c>
    </row>
    <row r="189" spans="1:17" x14ac:dyDescent="0.3">
      <c r="A189" t="s">
        <v>419</v>
      </c>
      <c r="B189" t="s">
        <v>625</v>
      </c>
      <c r="C189" t="s">
        <v>12</v>
      </c>
      <c r="D189">
        <v>1990</v>
      </c>
      <c r="E189">
        <v>7280</v>
      </c>
      <c r="F189">
        <v>233.69</v>
      </c>
      <c r="G189">
        <v>2.5099999999999998</v>
      </c>
      <c r="H189">
        <v>7</v>
      </c>
      <c r="I189">
        <v>3</v>
      </c>
      <c r="J189">
        <v>8</v>
      </c>
      <c r="K189">
        <v>3</v>
      </c>
      <c r="L189" t="s">
        <v>32</v>
      </c>
      <c r="M189" t="s">
        <v>33</v>
      </c>
      <c r="N189" t="s">
        <v>34</v>
      </c>
      <c r="O189" t="s">
        <v>35</v>
      </c>
      <c r="P189" t="s">
        <v>42</v>
      </c>
      <c r="Q189" t="s">
        <v>18</v>
      </c>
    </row>
    <row r="190" spans="1:17" x14ac:dyDescent="0.3">
      <c r="A190" t="s">
        <v>587</v>
      </c>
      <c r="B190" t="s">
        <v>660</v>
      </c>
      <c r="C190" t="s">
        <v>12</v>
      </c>
      <c r="D190">
        <v>2005</v>
      </c>
      <c r="E190">
        <v>5055</v>
      </c>
      <c r="F190">
        <v>365.73</v>
      </c>
      <c r="G190">
        <v>-1.02</v>
      </c>
      <c r="H190">
        <v>5</v>
      </c>
      <c r="I190">
        <v>5</v>
      </c>
      <c r="J190">
        <v>8</v>
      </c>
      <c r="K190">
        <v>2</v>
      </c>
      <c r="L190" t="s">
        <v>235</v>
      </c>
      <c r="M190" t="s">
        <v>152</v>
      </c>
      <c r="N190" t="s">
        <v>56</v>
      </c>
      <c r="O190" t="s">
        <v>74</v>
      </c>
      <c r="P190" t="s">
        <v>8</v>
      </c>
      <c r="Q190" t="s">
        <v>18</v>
      </c>
    </row>
    <row r="191" spans="1:17" x14ac:dyDescent="0.3">
      <c r="A191" t="s">
        <v>421</v>
      </c>
      <c r="B191" t="s">
        <v>729</v>
      </c>
      <c r="C191" t="s">
        <v>81</v>
      </c>
      <c r="D191">
        <v>1980</v>
      </c>
      <c r="E191">
        <v>182</v>
      </c>
      <c r="F191">
        <v>350.84</v>
      </c>
      <c r="G191">
        <v>16.920000000000002</v>
      </c>
      <c r="H191">
        <v>4</v>
      </c>
      <c r="I191">
        <v>5</v>
      </c>
      <c r="J191">
        <v>8</v>
      </c>
      <c r="K191">
        <v>3</v>
      </c>
      <c r="L191" t="s">
        <v>190</v>
      </c>
      <c r="M191" t="s">
        <v>83</v>
      </c>
      <c r="N191" t="s">
        <v>209</v>
      </c>
      <c r="O191" t="s">
        <v>90</v>
      </c>
      <c r="P191" t="s">
        <v>8</v>
      </c>
      <c r="Q191" t="s">
        <v>18</v>
      </c>
    </row>
    <row r="192" spans="1:17" x14ac:dyDescent="0.3">
      <c r="A192" t="s">
        <v>422</v>
      </c>
      <c r="B192" t="s">
        <v>732</v>
      </c>
      <c r="C192" t="s">
        <v>3</v>
      </c>
      <c r="D192">
        <v>2003</v>
      </c>
      <c r="E192">
        <v>4952</v>
      </c>
      <c r="F192">
        <v>77.19</v>
      </c>
      <c r="G192">
        <v>16.670000000000002</v>
      </c>
      <c r="H192">
        <v>5</v>
      </c>
      <c r="I192">
        <v>7</v>
      </c>
      <c r="J192">
        <v>8</v>
      </c>
      <c r="K192">
        <v>3</v>
      </c>
      <c r="L192" t="s">
        <v>4</v>
      </c>
      <c r="M192" t="s">
        <v>77</v>
      </c>
      <c r="N192" t="s">
        <v>116</v>
      </c>
      <c r="O192" t="s">
        <v>21</v>
      </c>
      <c r="P192" t="s">
        <v>42</v>
      </c>
      <c r="Q192" t="s">
        <v>36</v>
      </c>
    </row>
    <row r="193" spans="1:17" x14ac:dyDescent="0.3">
      <c r="A193" t="s">
        <v>424</v>
      </c>
      <c r="B193" t="s">
        <v>733</v>
      </c>
      <c r="C193" t="s">
        <v>48</v>
      </c>
      <c r="D193">
        <v>2008</v>
      </c>
      <c r="E193">
        <v>3609</v>
      </c>
      <c r="F193">
        <v>52.48</v>
      </c>
      <c r="G193">
        <v>2.4300000000000002</v>
      </c>
      <c r="H193">
        <v>4</v>
      </c>
      <c r="I193">
        <v>3</v>
      </c>
      <c r="J193">
        <v>3</v>
      </c>
      <c r="K193">
        <v>6</v>
      </c>
      <c r="L193" t="s">
        <v>121</v>
      </c>
      <c r="M193" t="s">
        <v>99</v>
      </c>
      <c r="N193" t="s">
        <v>89</v>
      </c>
      <c r="O193" t="s">
        <v>52</v>
      </c>
      <c r="P193" t="s">
        <v>29</v>
      </c>
      <c r="Q193" t="s">
        <v>9</v>
      </c>
    </row>
    <row r="194" spans="1:17" x14ac:dyDescent="0.3">
      <c r="A194" t="s">
        <v>426</v>
      </c>
      <c r="B194" t="s">
        <v>734</v>
      </c>
      <c r="C194" t="s">
        <v>48</v>
      </c>
      <c r="D194">
        <v>2018</v>
      </c>
      <c r="E194">
        <v>9880</v>
      </c>
      <c r="F194">
        <v>363.38</v>
      </c>
      <c r="G194">
        <v>14.39</v>
      </c>
      <c r="H194">
        <v>6</v>
      </c>
      <c r="I194">
        <v>7</v>
      </c>
      <c r="J194">
        <v>3</v>
      </c>
      <c r="K194">
        <v>7</v>
      </c>
      <c r="L194" t="s">
        <v>124</v>
      </c>
      <c r="M194" t="s">
        <v>14</v>
      </c>
      <c r="N194" t="s">
        <v>218</v>
      </c>
      <c r="O194" t="s">
        <v>62</v>
      </c>
      <c r="P194" t="s">
        <v>42</v>
      </c>
      <c r="Q194" t="s">
        <v>96</v>
      </c>
    </row>
    <row r="195" spans="1:17" x14ac:dyDescent="0.3">
      <c r="A195" t="s">
        <v>428</v>
      </c>
      <c r="B195" t="s">
        <v>641</v>
      </c>
      <c r="C195" t="s">
        <v>81</v>
      </c>
      <c r="D195">
        <v>1987</v>
      </c>
      <c r="E195">
        <v>3999</v>
      </c>
      <c r="F195">
        <v>254.8</v>
      </c>
      <c r="G195">
        <v>5.96</v>
      </c>
      <c r="H195">
        <v>8</v>
      </c>
      <c r="I195">
        <v>2</v>
      </c>
      <c r="J195">
        <v>7</v>
      </c>
      <c r="K195">
        <v>2</v>
      </c>
      <c r="L195" t="s">
        <v>103</v>
      </c>
      <c r="M195" t="s">
        <v>139</v>
      </c>
      <c r="N195" t="s">
        <v>209</v>
      </c>
      <c r="O195" t="s">
        <v>90</v>
      </c>
      <c r="P195" t="s">
        <v>17</v>
      </c>
      <c r="Q195" t="s">
        <v>18</v>
      </c>
    </row>
    <row r="196" spans="1:17" x14ac:dyDescent="0.3">
      <c r="A196" t="s">
        <v>429</v>
      </c>
      <c r="B196" t="s">
        <v>652</v>
      </c>
      <c r="C196" t="s">
        <v>12</v>
      </c>
      <c r="D196">
        <v>1981</v>
      </c>
      <c r="E196">
        <v>9673</v>
      </c>
      <c r="F196">
        <v>43.09</v>
      </c>
      <c r="G196">
        <v>-2.5299999999999998</v>
      </c>
      <c r="H196">
        <v>6</v>
      </c>
      <c r="I196">
        <v>3</v>
      </c>
      <c r="J196">
        <v>3</v>
      </c>
      <c r="K196">
        <v>2</v>
      </c>
      <c r="L196" t="s">
        <v>13</v>
      </c>
      <c r="M196" t="s">
        <v>14</v>
      </c>
      <c r="N196" t="s">
        <v>212</v>
      </c>
      <c r="O196" t="s">
        <v>74</v>
      </c>
      <c r="P196" t="s">
        <v>17</v>
      </c>
      <c r="Q196" t="s">
        <v>18</v>
      </c>
    </row>
    <row r="197" spans="1:17" x14ac:dyDescent="0.3">
      <c r="A197" t="s">
        <v>430</v>
      </c>
      <c r="B197" t="s">
        <v>728</v>
      </c>
      <c r="C197" t="s">
        <v>48</v>
      </c>
      <c r="D197">
        <v>1989</v>
      </c>
      <c r="E197">
        <v>4596</v>
      </c>
      <c r="F197">
        <v>50.96</v>
      </c>
      <c r="G197">
        <v>15.96</v>
      </c>
      <c r="H197">
        <v>4</v>
      </c>
      <c r="I197">
        <v>6</v>
      </c>
      <c r="J197">
        <v>4</v>
      </c>
      <c r="K197">
        <v>3</v>
      </c>
      <c r="L197" t="s">
        <v>51</v>
      </c>
      <c r="M197" t="s">
        <v>99</v>
      </c>
      <c r="N197" t="s">
        <v>89</v>
      </c>
      <c r="O197" t="s">
        <v>106</v>
      </c>
      <c r="P197" t="s">
        <v>42</v>
      </c>
      <c r="Q197" t="s">
        <v>9</v>
      </c>
    </row>
    <row r="198" spans="1:17" x14ac:dyDescent="0.3">
      <c r="A198" t="s">
        <v>431</v>
      </c>
      <c r="B198" t="s">
        <v>735</v>
      </c>
      <c r="C198" t="s">
        <v>24</v>
      </c>
      <c r="D198">
        <v>1985</v>
      </c>
      <c r="E198">
        <v>7168</v>
      </c>
      <c r="F198">
        <v>66.83</v>
      </c>
      <c r="G198">
        <v>-0.09</v>
      </c>
      <c r="H198">
        <v>8</v>
      </c>
      <c r="I198">
        <v>6</v>
      </c>
      <c r="J198">
        <v>3</v>
      </c>
      <c r="K198">
        <v>4</v>
      </c>
      <c r="L198" t="s">
        <v>141</v>
      </c>
      <c r="M198" t="s">
        <v>195</v>
      </c>
      <c r="N198" t="s">
        <v>93</v>
      </c>
      <c r="O198" t="s">
        <v>200</v>
      </c>
      <c r="P198" t="s">
        <v>8</v>
      </c>
      <c r="Q198" t="s">
        <v>36</v>
      </c>
    </row>
    <row r="199" spans="1:17" x14ac:dyDescent="0.3">
      <c r="A199" t="s">
        <v>433</v>
      </c>
      <c r="B199" t="s">
        <v>632</v>
      </c>
      <c r="C199" t="s">
        <v>48</v>
      </c>
      <c r="D199">
        <v>1996</v>
      </c>
      <c r="E199">
        <v>2785</v>
      </c>
      <c r="F199">
        <v>192.22</v>
      </c>
      <c r="G199">
        <v>2.89</v>
      </c>
      <c r="H199">
        <v>9</v>
      </c>
      <c r="I199">
        <v>4</v>
      </c>
      <c r="J199">
        <v>8</v>
      </c>
      <c r="K199">
        <v>2</v>
      </c>
      <c r="L199" t="s">
        <v>49</v>
      </c>
      <c r="M199" t="s">
        <v>99</v>
      </c>
      <c r="N199" t="s">
        <v>89</v>
      </c>
      <c r="O199" t="s">
        <v>52</v>
      </c>
      <c r="P199" t="s">
        <v>8</v>
      </c>
      <c r="Q199" t="s">
        <v>18</v>
      </c>
    </row>
    <row r="200" spans="1:17" x14ac:dyDescent="0.3">
      <c r="A200" t="s">
        <v>434</v>
      </c>
      <c r="B200" t="s">
        <v>708</v>
      </c>
      <c r="C200" t="s">
        <v>81</v>
      </c>
      <c r="D200">
        <v>2009</v>
      </c>
      <c r="E200">
        <v>8418</v>
      </c>
      <c r="F200">
        <v>186.46</v>
      </c>
      <c r="G200">
        <v>17.22</v>
      </c>
      <c r="H200">
        <v>7</v>
      </c>
      <c r="I200">
        <v>6</v>
      </c>
      <c r="J200">
        <v>4</v>
      </c>
      <c r="K200">
        <v>4</v>
      </c>
      <c r="L200" t="s">
        <v>144</v>
      </c>
      <c r="M200" t="s">
        <v>139</v>
      </c>
      <c r="N200" t="s">
        <v>82</v>
      </c>
      <c r="O200" t="s">
        <v>84</v>
      </c>
      <c r="P200" t="s">
        <v>29</v>
      </c>
      <c r="Q200" t="s">
        <v>36</v>
      </c>
    </row>
    <row r="201" spans="1:17" x14ac:dyDescent="0.3">
      <c r="A201" t="s">
        <v>435</v>
      </c>
      <c r="B201" t="s">
        <v>736</v>
      </c>
      <c r="C201" t="s">
        <v>12</v>
      </c>
      <c r="D201">
        <v>1995</v>
      </c>
      <c r="E201">
        <v>803</v>
      </c>
      <c r="F201">
        <v>241.16</v>
      </c>
      <c r="G201">
        <v>7.49</v>
      </c>
      <c r="H201">
        <v>7</v>
      </c>
      <c r="I201">
        <v>3</v>
      </c>
      <c r="J201">
        <v>4</v>
      </c>
      <c r="K201">
        <v>2</v>
      </c>
      <c r="L201" t="s">
        <v>55</v>
      </c>
      <c r="M201" t="s">
        <v>73</v>
      </c>
      <c r="N201" t="s">
        <v>56</v>
      </c>
      <c r="O201" t="s">
        <v>57</v>
      </c>
      <c r="P201" t="s">
        <v>29</v>
      </c>
      <c r="Q201" t="s">
        <v>18</v>
      </c>
    </row>
    <row r="202" spans="1:17" x14ac:dyDescent="0.3">
      <c r="A202" t="s">
        <v>437</v>
      </c>
      <c r="B202" t="s">
        <v>667</v>
      </c>
      <c r="C202" t="s">
        <v>12</v>
      </c>
      <c r="D202">
        <v>2016</v>
      </c>
      <c r="E202">
        <v>6158</v>
      </c>
      <c r="F202">
        <v>68.510000000000005</v>
      </c>
      <c r="G202">
        <v>20.98</v>
      </c>
      <c r="H202">
        <v>9</v>
      </c>
      <c r="I202">
        <v>2</v>
      </c>
      <c r="J202">
        <v>4</v>
      </c>
      <c r="K202">
        <v>3</v>
      </c>
      <c r="L202" t="s">
        <v>55</v>
      </c>
      <c r="M202" t="s">
        <v>152</v>
      </c>
      <c r="N202" t="s">
        <v>212</v>
      </c>
      <c r="O202" t="s">
        <v>35</v>
      </c>
      <c r="P202" t="s">
        <v>17</v>
      </c>
      <c r="Q202" t="s">
        <v>18</v>
      </c>
    </row>
    <row r="203" spans="1:17" x14ac:dyDescent="0.3">
      <c r="A203" t="s">
        <v>438</v>
      </c>
      <c r="B203" t="s">
        <v>664</v>
      </c>
      <c r="C203" t="s">
        <v>12</v>
      </c>
      <c r="D203">
        <v>2015</v>
      </c>
      <c r="E203">
        <v>7533</v>
      </c>
      <c r="F203">
        <v>13.9</v>
      </c>
      <c r="G203">
        <v>24.93</v>
      </c>
      <c r="H203">
        <v>5</v>
      </c>
      <c r="I203">
        <v>4</v>
      </c>
      <c r="J203">
        <v>7</v>
      </c>
      <c r="K203">
        <v>4</v>
      </c>
      <c r="L203" t="s">
        <v>55</v>
      </c>
      <c r="M203" t="s">
        <v>33</v>
      </c>
      <c r="N203" t="s">
        <v>212</v>
      </c>
      <c r="O203" t="s">
        <v>57</v>
      </c>
      <c r="P203" t="s">
        <v>17</v>
      </c>
      <c r="Q203" t="s">
        <v>18</v>
      </c>
    </row>
    <row r="204" spans="1:17" x14ac:dyDescent="0.3">
      <c r="A204" t="s">
        <v>439</v>
      </c>
      <c r="B204" t="s">
        <v>647</v>
      </c>
      <c r="C204" t="s">
        <v>24</v>
      </c>
      <c r="D204">
        <v>1989</v>
      </c>
      <c r="E204">
        <v>154</v>
      </c>
      <c r="F204">
        <v>466.87</v>
      </c>
      <c r="G204">
        <v>-1.88</v>
      </c>
      <c r="H204">
        <v>4</v>
      </c>
      <c r="I204">
        <v>3</v>
      </c>
      <c r="J204">
        <v>7</v>
      </c>
      <c r="K204">
        <v>4</v>
      </c>
      <c r="L204" t="s">
        <v>60</v>
      </c>
      <c r="M204" t="s">
        <v>26</v>
      </c>
      <c r="N204" t="s">
        <v>93</v>
      </c>
      <c r="O204" t="s">
        <v>68</v>
      </c>
      <c r="P204" t="s">
        <v>42</v>
      </c>
      <c r="Q204" t="s">
        <v>18</v>
      </c>
    </row>
    <row r="205" spans="1:17" x14ac:dyDescent="0.3">
      <c r="A205" t="s">
        <v>440</v>
      </c>
      <c r="B205" t="s">
        <v>737</v>
      </c>
      <c r="C205" t="s">
        <v>81</v>
      </c>
      <c r="D205">
        <v>2011</v>
      </c>
      <c r="E205">
        <v>1031</v>
      </c>
      <c r="F205">
        <v>486.55</v>
      </c>
      <c r="G205">
        <v>24.24</v>
      </c>
      <c r="H205">
        <v>5</v>
      </c>
      <c r="I205">
        <v>7</v>
      </c>
      <c r="J205">
        <v>5</v>
      </c>
      <c r="K205">
        <v>2</v>
      </c>
      <c r="L205" t="s">
        <v>87</v>
      </c>
      <c r="M205" t="s">
        <v>104</v>
      </c>
      <c r="N205" t="s">
        <v>145</v>
      </c>
      <c r="O205" t="s">
        <v>166</v>
      </c>
      <c r="P205" t="s">
        <v>17</v>
      </c>
      <c r="Q205" t="s">
        <v>36</v>
      </c>
    </row>
    <row r="206" spans="1:17" x14ac:dyDescent="0.3">
      <c r="A206" t="s">
        <v>442</v>
      </c>
      <c r="B206" t="s">
        <v>738</v>
      </c>
      <c r="C206" t="s">
        <v>12</v>
      </c>
      <c r="D206">
        <v>2012</v>
      </c>
      <c r="E206">
        <v>2237</v>
      </c>
      <c r="F206">
        <v>322.24</v>
      </c>
      <c r="G206">
        <v>2.83</v>
      </c>
      <c r="H206">
        <v>7</v>
      </c>
      <c r="I206">
        <v>2</v>
      </c>
      <c r="J206">
        <v>7</v>
      </c>
      <c r="K206">
        <v>6</v>
      </c>
      <c r="L206" t="s">
        <v>235</v>
      </c>
      <c r="M206" t="s">
        <v>73</v>
      </c>
      <c r="N206" t="s">
        <v>56</v>
      </c>
      <c r="O206" t="s">
        <v>16</v>
      </c>
      <c r="P206" t="s">
        <v>42</v>
      </c>
      <c r="Q206" t="s">
        <v>18</v>
      </c>
    </row>
    <row r="207" spans="1:17" x14ac:dyDescent="0.3">
      <c r="A207" t="s">
        <v>444</v>
      </c>
      <c r="B207" t="s">
        <v>596</v>
      </c>
      <c r="C207" t="s">
        <v>3</v>
      </c>
      <c r="D207">
        <v>2000</v>
      </c>
      <c r="E207">
        <v>7467</v>
      </c>
      <c r="F207">
        <v>143.26</v>
      </c>
      <c r="G207">
        <v>8.98</v>
      </c>
      <c r="H207">
        <v>4</v>
      </c>
      <c r="I207">
        <v>3</v>
      </c>
      <c r="J207">
        <v>4</v>
      </c>
      <c r="K207">
        <v>6</v>
      </c>
      <c r="L207" t="s">
        <v>4</v>
      </c>
      <c r="M207" t="s">
        <v>115</v>
      </c>
      <c r="N207" t="s">
        <v>6</v>
      </c>
      <c r="O207" t="s">
        <v>41</v>
      </c>
      <c r="P207" t="s">
        <v>17</v>
      </c>
      <c r="Q207" t="s">
        <v>9</v>
      </c>
    </row>
    <row r="208" spans="1:17" x14ac:dyDescent="0.3">
      <c r="A208" t="s">
        <v>445</v>
      </c>
      <c r="B208" t="s">
        <v>716</v>
      </c>
      <c r="C208" t="s">
        <v>48</v>
      </c>
      <c r="D208">
        <v>2002</v>
      </c>
      <c r="E208">
        <v>3451</v>
      </c>
      <c r="F208">
        <v>231.44</v>
      </c>
      <c r="G208">
        <v>-0.55000000000000004</v>
      </c>
      <c r="H208">
        <v>7</v>
      </c>
      <c r="I208">
        <v>4</v>
      </c>
      <c r="J208">
        <v>3</v>
      </c>
      <c r="K208">
        <v>2</v>
      </c>
      <c r="L208" t="s">
        <v>60</v>
      </c>
      <c r="M208" t="s">
        <v>99</v>
      </c>
      <c r="N208" t="s">
        <v>61</v>
      </c>
      <c r="O208" t="s">
        <v>100</v>
      </c>
      <c r="P208" t="s">
        <v>42</v>
      </c>
      <c r="Q208" t="s">
        <v>18</v>
      </c>
    </row>
    <row r="209" spans="1:17" x14ac:dyDescent="0.3">
      <c r="A209" t="s">
        <v>446</v>
      </c>
      <c r="B209" t="s">
        <v>739</v>
      </c>
      <c r="C209" t="s">
        <v>81</v>
      </c>
      <c r="D209">
        <v>2012</v>
      </c>
      <c r="E209">
        <v>852</v>
      </c>
      <c r="F209">
        <v>341.82</v>
      </c>
      <c r="G209">
        <v>19.12</v>
      </c>
      <c r="H209">
        <v>6</v>
      </c>
      <c r="I209">
        <v>3</v>
      </c>
      <c r="J209">
        <v>3</v>
      </c>
      <c r="K209">
        <v>5</v>
      </c>
      <c r="L209" t="s">
        <v>190</v>
      </c>
      <c r="M209" t="s">
        <v>104</v>
      </c>
      <c r="N209" t="s">
        <v>82</v>
      </c>
      <c r="O209" t="s">
        <v>90</v>
      </c>
      <c r="P209" t="s">
        <v>8</v>
      </c>
      <c r="Q209" t="s">
        <v>36</v>
      </c>
    </row>
    <row r="210" spans="1:17" x14ac:dyDescent="0.3">
      <c r="A210" t="s">
        <v>448</v>
      </c>
      <c r="B210" t="s">
        <v>702</v>
      </c>
      <c r="C210" t="s">
        <v>12</v>
      </c>
      <c r="D210">
        <v>1983</v>
      </c>
      <c r="E210">
        <v>3691</v>
      </c>
      <c r="F210">
        <v>74.05</v>
      </c>
      <c r="G210">
        <v>0.93</v>
      </c>
      <c r="H210">
        <v>7</v>
      </c>
      <c r="I210">
        <v>4</v>
      </c>
      <c r="J210">
        <v>8</v>
      </c>
      <c r="K210">
        <v>7</v>
      </c>
      <c r="L210" t="s">
        <v>235</v>
      </c>
      <c r="M210" t="s">
        <v>14</v>
      </c>
      <c r="N210" t="s">
        <v>15</v>
      </c>
      <c r="O210" t="s">
        <v>35</v>
      </c>
      <c r="P210" t="s">
        <v>8</v>
      </c>
      <c r="Q210" t="s">
        <v>18</v>
      </c>
    </row>
    <row r="211" spans="1:17" x14ac:dyDescent="0.3">
      <c r="A211" t="s">
        <v>449</v>
      </c>
      <c r="B211" t="s">
        <v>740</v>
      </c>
      <c r="C211" t="s">
        <v>12</v>
      </c>
      <c r="D211">
        <v>2001</v>
      </c>
      <c r="E211">
        <v>2057</v>
      </c>
      <c r="F211">
        <v>30.92</v>
      </c>
      <c r="G211">
        <v>15.5</v>
      </c>
      <c r="H211">
        <v>7</v>
      </c>
      <c r="I211">
        <v>2</v>
      </c>
      <c r="J211">
        <v>4</v>
      </c>
      <c r="K211">
        <v>6</v>
      </c>
      <c r="L211" t="s">
        <v>13</v>
      </c>
      <c r="M211" t="s">
        <v>73</v>
      </c>
      <c r="N211" t="s">
        <v>212</v>
      </c>
      <c r="O211" t="s">
        <v>35</v>
      </c>
      <c r="P211" t="s">
        <v>17</v>
      </c>
      <c r="Q211" t="s">
        <v>36</v>
      </c>
    </row>
    <row r="212" spans="1:17" x14ac:dyDescent="0.3">
      <c r="A212" t="s">
        <v>451</v>
      </c>
      <c r="B212" t="s">
        <v>715</v>
      </c>
      <c r="C212" t="s">
        <v>24</v>
      </c>
      <c r="D212">
        <v>1991</v>
      </c>
      <c r="E212">
        <v>4555</v>
      </c>
      <c r="F212">
        <v>147.13</v>
      </c>
      <c r="G212">
        <v>21.48</v>
      </c>
      <c r="H212">
        <v>5</v>
      </c>
      <c r="I212">
        <v>2</v>
      </c>
      <c r="J212">
        <v>7</v>
      </c>
      <c r="K212">
        <v>6</v>
      </c>
      <c r="L212" t="s">
        <v>65</v>
      </c>
      <c r="M212" t="s">
        <v>66</v>
      </c>
      <c r="N212" t="s">
        <v>67</v>
      </c>
      <c r="O212" t="s">
        <v>68</v>
      </c>
      <c r="P212" t="s">
        <v>17</v>
      </c>
      <c r="Q212" t="s">
        <v>18</v>
      </c>
    </row>
    <row r="213" spans="1:17" x14ac:dyDescent="0.3">
      <c r="A213" t="s">
        <v>452</v>
      </c>
      <c r="B213" t="s">
        <v>741</v>
      </c>
      <c r="C213" t="s">
        <v>12</v>
      </c>
      <c r="D213">
        <v>1997</v>
      </c>
      <c r="E213">
        <v>6325</v>
      </c>
      <c r="F213">
        <v>77.25</v>
      </c>
      <c r="G213">
        <v>11.34</v>
      </c>
      <c r="H213">
        <v>5</v>
      </c>
      <c r="I213">
        <v>7</v>
      </c>
      <c r="J213">
        <v>7</v>
      </c>
      <c r="K213">
        <v>3</v>
      </c>
      <c r="L213" t="s">
        <v>55</v>
      </c>
      <c r="M213" t="s">
        <v>152</v>
      </c>
      <c r="N213" t="s">
        <v>212</v>
      </c>
      <c r="O213" t="s">
        <v>57</v>
      </c>
      <c r="P213" t="s">
        <v>17</v>
      </c>
      <c r="Q213" t="s">
        <v>36</v>
      </c>
    </row>
    <row r="214" spans="1:17" x14ac:dyDescent="0.3">
      <c r="A214" t="s">
        <v>454</v>
      </c>
      <c r="B214" t="s">
        <v>742</v>
      </c>
      <c r="C214" t="s">
        <v>48</v>
      </c>
      <c r="D214">
        <v>2012</v>
      </c>
      <c r="E214">
        <v>5319</v>
      </c>
      <c r="F214">
        <v>200.31</v>
      </c>
      <c r="G214">
        <v>10.88</v>
      </c>
      <c r="H214">
        <v>5</v>
      </c>
      <c r="I214">
        <v>2</v>
      </c>
      <c r="J214">
        <v>5</v>
      </c>
      <c r="K214">
        <v>6</v>
      </c>
      <c r="L214" t="s">
        <v>60</v>
      </c>
      <c r="M214" t="s">
        <v>50</v>
      </c>
      <c r="N214" t="s">
        <v>51</v>
      </c>
      <c r="O214" t="s">
        <v>106</v>
      </c>
      <c r="P214" t="s">
        <v>17</v>
      </c>
      <c r="Q214" t="s">
        <v>36</v>
      </c>
    </row>
    <row r="215" spans="1:17" x14ac:dyDescent="0.3">
      <c r="A215" t="s">
        <v>456</v>
      </c>
      <c r="B215" t="s">
        <v>677</v>
      </c>
      <c r="C215" t="s">
        <v>24</v>
      </c>
      <c r="D215">
        <v>1986</v>
      </c>
      <c r="E215">
        <v>4110</v>
      </c>
      <c r="F215">
        <v>331.86</v>
      </c>
      <c r="G215">
        <v>2.1</v>
      </c>
      <c r="H215">
        <v>6</v>
      </c>
      <c r="I215">
        <v>6</v>
      </c>
      <c r="J215">
        <v>8</v>
      </c>
      <c r="K215">
        <v>2</v>
      </c>
      <c r="L215" t="s">
        <v>141</v>
      </c>
      <c r="M215" t="s">
        <v>131</v>
      </c>
      <c r="N215" t="s">
        <v>67</v>
      </c>
      <c r="O215" t="s">
        <v>200</v>
      </c>
      <c r="P215" t="s">
        <v>29</v>
      </c>
      <c r="Q215" t="s">
        <v>18</v>
      </c>
    </row>
    <row r="216" spans="1:17" x14ac:dyDescent="0.3">
      <c r="A216" t="s">
        <v>457</v>
      </c>
      <c r="B216" t="s">
        <v>683</v>
      </c>
      <c r="C216" t="s">
        <v>48</v>
      </c>
      <c r="D216">
        <v>1981</v>
      </c>
      <c r="E216">
        <v>5811</v>
      </c>
      <c r="F216">
        <v>474.3</v>
      </c>
      <c r="G216">
        <v>-2.29</v>
      </c>
      <c r="H216">
        <v>8</v>
      </c>
      <c r="I216">
        <v>3</v>
      </c>
      <c r="J216">
        <v>7</v>
      </c>
      <c r="K216">
        <v>3</v>
      </c>
      <c r="L216" t="s">
        <v>121</v>
      </c>
      <c r="M216" t="s">
        <v>99</v>
      </c>
      <c r="N216" t="s">
        <v>218</v>
      </c>
      <c r="O216" t="s">
        <v>62</v>
      </c>
      <c r="P216" t="s">
        <v>8</v>
      </c>
      <c r="Q216" t="s">
        <v>18</v>
      </c>
    </row>
    <row r="217" spans="1:17" x14ac:dyDescent="0.3">
      <c r="A217" t="s">
        <v>458</v>
      </c>
      <c r="B217" t="s">
        <v>743</v>
      </c>
      <c r="C217" t="s">
        <v>24</v>
      </c>
      <c r="D217">
        <v>1981</v>
      </c>
      <c r="E217">
        <v>8675</v>
      </c>
      <c r="F217">
        <v>244.21</v>
      </c>
      <c r="G217">
        <v>-0.56999999999999995</v>
      </c>
      <c r="H217">
        <v>6</v>
      </c>
      <c r="I217">
        <v>6</v>
      </c>
      <c r="J217">
        <v>4</v>
      </c>
      <c r="K217">
        <v>3</v>
      </c>
      <c r="L217" t="s">
        <v>305</v>
      </c>
      <c r="M217" t="s">
        <v>66</v>
      </c>
      <c r="N217" t="s">
        <v>67</v>
      </c>
      <c r="O217" t="s">
        <v>16</v>
      </c>
      <c r="P217" t="s">
        <v>8</v>
      </c>
      <c r="Q217" t="s">
        <v>36</v>
      </c>
    </row>
    <row r="218" spans="1:17" x14ac:dyDescent="0.3">
      <c r="A218" t="s">
        <v>460</v>
      </c>
      <c r="B218" t="s">
        <v>744</v>
      </c>
      <c r="C218" t="s">
        <v>48</v>
      </c>
      <c r="D218">
        <v>2003</v>
      </c>
      <c r="E218">
        <v>1238</v>
      </c>
      <c r="F218">
        <v>193.06</v>
      </c>
      <c r="G218">
        <v>16.97</v>
      </c>
      <c r="H218">
        <v>9</v>
      </c>
      <c r="I218">
        <v>5</v>
      </c>
      <c r="J218">
        <v>7</v>
      </c>
      <c r="K218">
        <v>2</v>
      </c>
      <c r="L218" t="s">
        <v>124</v>
      </c>
      <c r="M218" t="s">
        <v>99</v>
      </c>
      <c r="N218" t="s">
        <v>51</v>
      </c>
      <c r="O218" t="s">
        <v>100</v>
      </c>
      <c r="P218" t="s">
        <v>29</v>
      </c>
      <c r="Q218" t="s">
        <v>18</v>
      </c>
    </row>
    <row r="219" spans="1:17" x14ac:dyDescent="0.3">
      <c r="A219" t="s">
        <v>462</v>
      </c>
      <c r="B219" t="s">
        <v>629</v>
      </c>
      <c r="C219" t="s">
        <v>3</v>
      </c>
      <c r="D219">
        <v>1991</v>
      </c>
      <c r="E219">
        <v>9257</v>
      </c>
      <c r="F219">
        <v>349.84</v>
      </c>
      <c r="G219">
        <v>-1.18</v>
      </c>
      <c r="H219">
        <v>8</v>
      </c>
      <c r="I219">
        <v>4</v>
      </c>
      <c r="J219">
        <v>4</v>
      </c>
      <c r="K219">
        <v>7</v>
      </c>
      <c r="L219" t="s">
        <v>45</v>
      </c>
      <c r="M219" t="s">
        <v>115</v>
      </c>
      <c r="N219" t="s">
        <v>40</v>
      </c>
      <c r="O219" t="s">
        <v>78</v>
      </c>
      <c r="P219" t="s">
        <v>42</v>
      </c>
      <c r="Q219" t="s">
        <v>36</v>
      </c>
    </row>
    <row r="220" spans="1:17" x14ac:dyDescent="0.3">
      <c r="A220" t="s">
        <v>463</v>
      </c>
      <c r="B220" t="s">
        <v>650</v>
      </c>
      <c r="C220" t="s">
        <v>81</v>
      </c>
      <c r="D220">
        <v>2016</v>
      </c>
      <c r="E220">
        <v>580</v>
      </c>
      <c r="F220">
        <v>99.22</v>
      </c>
      <c r="G220">
        <v>17.36</v>
      </c>
      <c r="H220">
        <v>6</v>
      </c>
      <c r="I220">
        <v>6</v>
      </c>
      <c r="J220">
        <v>4</v>
      </c>
      <c r="K220">
        <v>7</v>
      </c>
      <c r="L220" t="s">
        <v>82</v>
      </c>
      <c r="M220" t="s">
        <v>83</v>
      </c>
      <c r="N220" t="s">
        <v>145</v>
      </c>
      <c r="O220" t="s">
        <v>111</v>
      </c>
      <c r="P220" t="s">
        <v>42</v>
      </c>
      <c r="Q220" t="s">
        <v>96</v>
      </c>
    </row>
    <row r="221" spans="1:17" x14ac:dyDescent="0.3">
      <c r="A221" t="s">
        <v>464</v>
      </c>
      <c r="B221" t="s">
        <v>745</v>
      </c>
      <c r="C221" t="s">
        <v>3</v>
      </c>
      <c r="D221">
        <v>1990</v>
      </c>
      <c r="E221">
        <v>1503</v>
      </c>
      <c r="F221">
        <v>412.61</v>
      </c>
      <c r="G221">
        <v>15.8</v>
      </c>
      <c r="H221">
        <v>9</v>
      </c>
      <c r="I221">
        <v>7</v>
      </c>
      <c r="J221">
        <v>8</v>
      </c>
      <c r="K221">
        <v>4</v>
      </c>
      <c r="L221" t="s">
        <v>39</v>
      </c>
      <c r="M221" t="s">
        <v>77</v>
      </c>
      <c r="N221" t="s">
        <v>173</v>
      </c>
      <c r="O221" t="s">
        <v>41</v>
      </c>
      <c r="P221" t="s">
        <v>29</v>
      </c>
      <c r="Q221" t="s">
        <v>18</v>
      </c>
    </row>
    <row r="222" spans="1:17" x14ac:dyDescent="0.3">
      <c r="A222" t="s">
        <v>466</v>
      </c>
      <c r="B222" t="s">
        <v>717</v>
      </c>
      <c r="C222" t="s">
        <v>12</v>
      </c>
      <c r="D222">
        <v>1980</v>
      </c>
      <c r="E222">
        <v>838</v>
      </c>
      <c r="F222">
        <v>199.11</v>
      </c>
      <c r="G222">
        <v>19.86</v>
      </c>
      <c r="H222">
        <v>9</v>
      </c>
      <c r="I222">
        <v>5</v>
      </c>
      <c r="J222">
        <v>4</v>
      </c>
      <c r="K222">
        <v>5</v>
      </c>
      <c r="L222" t="s">
        <v>13</v>
      </c>
      <c r="M222" t="s">
        <v>73</v>
      </c>
      <c r="N222" t="s">
        <v>34</v>
      </c>
      <c r="O222" t="s">
        <v>74</v>
      </c>
      <c r="P222" t="s">
        <v>8</v>
      </c>
      <c r="Q222" t="s">
        <v>36</v>
      </c>
    </row>
    <row r="223" spans="1:17" x14ac:dyDescent="0.3">
      <c r="A223" t="s">
        <v>467</v>
      </c>
      <c r="B223" t="s">
        <v>746</v>
      </c>
      <c r="C223" t="s">
        <v>24</v>
      </c>
      <c r="D223">
        <v>2008</v>
      </c>
      <c r="E223">
        <v>1257</v>
      </c>
      <c r="F223">
        <v>401.61</v>
      </c>
      <c r="G223">
        <v>21.64</v>
      </c>
      <c r="H223">
        <v>4</v>
      </c>
      <c r="I223">
        <v>4</v>
      </c>
      <c r="J223">
        <v>3</v>
      </c>
      <c r="K223">
        <v>4</v>
      </c>
      <c r="L223" t="s">
        <v>305</v>
      </c>
      <c r="M223" t="s">
        <v>195</v>
      </c>
      <c r="N223" t="s">
        <v>93</v>
      </c>
      <c r="O223" t="s">
        <v>28</v>
      </c>
      <c r="P223" t="s">
        <v>29</v>
      </c>
      <c r="Q223" t="s">
        <v>9</v>
      </c>
    </row>
    <row r="224" spans="1:17" x14ac:dyDescent="0.3">
      <c r="A224" t="s">
        <v>469</v>
      </c>
      <c r="B224" t="s">
        <v>747</v>
      </c>
      <c r="C224" t="s">
        <v>48</v>
      </c>
      <c r="D224">
        <v>1985</v>
      </c>
      <c r="E224">
        <v>5586</v>
      </c>
      <c r="F224">
        <v>301.07</v>
      </c>
      <c r="G224">
        <v>-1.96</v>
      </c>
      <c r="H224">
        <v>8</v>
      </c>
      <c r="I224">
        <v>5</v>
      </c>
      <c r="J224">
        <v>8</v>
      </c>
      <c r="K224">
        <v>2</v>
      </c>
      <c r="L224" t="s">
        <v>121</v>
      </c>
      <c r="M224" t="s">
        <v>14</v>
      </c>
      <c r="N224" t="s">
        <v>89</v>
      </c>
      <c r="O224" t="s">
        <v>100</v>
      </c>
      <c r="P224" t="s">
        <v>8</v>
      </c>
      <c r="Q224" t="s">
        <v>18</v>
      </c>
    </row>
    <row r="225" spans="1:17" x14ac:dyDescent="0.3">
      <c r="A225" t="s">
        <v>471</v>
      </c>
      <c r="B225" t="s">
        <v>678</v>
      </c>
      <c r="C225" t="s">
        <v>81</v>
      </c>
      <c r="D225">
        <v>2015</v>
      </c>
      <c r="E225">
        <v>8899</v>
      </c>
      <c r="F225">
        <v>139.97999999999999</v>
      </c>
      <c r="G225">
        <v>5.82</v>
      </c>
      <c r="H225">
        <v>6</v>
      </c>
      <c r="I225">
        <v>4</v>
      </c>
      <c r="J225">
        <v>4</v>
      </c>
      <c r="K225">
        <v>2</v>
      </c>
      <c r="L225" t="s">
        <v>87</v>
      </c>
      <c r="M225" t="s">
        <v>88</v>
      </c>
      <c r="N225" t="s">
        <v>145</v>
      </c>
      <c r="O225" t="s">
        <v>111</v>
      </c>
      <c r="P225" t="s">
        <v>8</v>
      </c>
      <c r="Q225" t="s">
        <v>18</v>
      </c>
    </row>
    <row r="226" spans="1:17" x14ac:dyDescent="0.3">
      <c r="A226" t="s">
        <v>472</v>
      </c>
      <c r="B226" t="s">
        <v>748</v>
      </c>
      <c r="C226" t="s">
        <v>3</v>
      </c>
      <c r="D226">
        <v>2020</v>
      </c>
      <c r="E226">
        <v>9883</v>
      </c>
      <c r="F226">
        <v>245.36</v>
      </c>
      <c r="G226">
        <v>18.55</v>
      </c>
      <c r="H226">
        <v>4</v>
      </c>
      <c r="I226">
        <v>2</v>
      </c>
      <c r="J226">
        <v>4</v>
      </c>
      <c r="K226">
        <v>3</v>
      </c>
      <c r="L226" t="s">
        <v>161</v>
      </c>
      <c r="M226" t="s">
        <v>77</v>
      </c>
      <c r="N226" t="s">
        <v>40</v>
      </c>
      <c r="O226" t="s">
        <v>7</v>
      </c>
      <c r="P226" t="s">
        <v>42</v>
      </c>
      <c r="Q226" t="s">
        <v>36</v>
      </c>
    </row>
    <row r="227" spans="1:17" x14ac:dyDescent="0.3">
      <c r="A227" t="s">
        <v>474</v>
      </c>
      <c r="B227" t="s">
        <v>723</v>
      </c>
      <c r="C227" t="s">
        <v>3</v>
      </c>
      <c r="D227">
        <v>1985</v>
      </c>
      <c r="E227">
        <v>8964</v>
      </c>
      <c r="F227">
        <v>199.89</v>
      </c>
      <c r="G227">
        <v>2.9</v>
      </c>
      <c r="H227">
        <v>6</v>
      </c>
      <c r="I227">
        <v>5</v>
      </c>
      <c r="J227">
        <v>5</v>
      </c>
      <c r="K227">
        <v>3</v>
      </c>
      <c r="L227" t="s">
        <v>39</v>
      </c>
      <c r="M227" t="s">
        <v>77</v>
      </c>
      <c r="N227" t="s">
        <v>173</v>
      </c>
      <c r="O227" t="s">
        <v>21</v>
      </c>
      <c r="P227" t="s">
        <v>17</v>
      </c>
      <c r="Q227" t="s">
        <v>36</v>
      </c>
    </row>
    <row r="228" spans="1:17" x14ac:dyDescent="0.3">
      <c r="A228" t="s">
        <v>475</v>
      </c>
      <c r="B228" t="s">
        <v>662</v>
      </c>
      <c r="C228" t="s">
        <v>12</v>
      </c>
      <c r="D228">
        <v>1989</v>
      </c>
      <c r="E228">
        <v>1634</v>
      </c>
      <c r="F228">
        <v>52</v>
      </c>
      <c r="G228">
        <v>12.18</v>
      </c>
      <c r="H228">
        <v>6</v>
      </c>
      <c r="I228">
        <v>6</v>
      </c>
      <c r="J228">
        <v>6</v>
      </c>
      <c r="K228">
        <v>6</v>
      </c>
      <c r="L228" t="s">
        <v>95</v>
      </c>
      <c r="M228" t="s">
        <v>152</v>
      </c>
      <c r="N228" t="s">
        <v>212</v>
      </c>
      <c r="O228" t="s">
        <v>74</v>
      </c>
      <c r="P228" t="s">
        <v>17</v>
      </c>
      <c r="Q228" t="s">
        <v>9</v>
      </c>
    </row>
    <row r="229" spans="1:17" x14ac:dyDescent="0.3">
      <c r="A229" t="s">
        <v>476</v>
      </c>
      <c r="B229" t="s">
        <v>674</v>
      </c>
      <c r="C229" t="s">
        <v>3</v>
      </c>
      <c r="D229">
        <v>1985</v>
      </c>
      <c r="E229">
        <v>6518</v>
      </c>
      <c r="F229">
        <v>452.36</v>
      </c>
      <c r="G229">
        <v>23.47</v>
      </c>
      <c r="H229">
        <v>9</v>
      </c>
      <c r="I229">
        <v>2</v>
      </c>
      <c r="J229">
        <v>7</v>
      </c>
      <c r="K229">
        <v>6</v>
      </c>
      <c r="L229" t="s">
        <v>45</v>
      </c>
      <c r="M229" t="s">
        <v>115</v>
      </c>
      <c r="N229" t="s">
        <v>6</v>
      </c>
      <c r="O229" t="s">
        <v>21</v>
      </c>
      <c r="P229" t="s">
        <v>29</v>
      </c>
      <c r="Q229" t="s">
        <v>18</v>
      </c>
    </row>
    <row r="230" spans="1:17" x14ac:dyDescent="0.3">
      <c r="A230" t="s">
        <v>477</v>
      </c>
      <c r="B230" t="s">
        <v>685</v>
      </c>
      <c r="C230" t="s">
        <v>24</v>
      </c>
      <c r="D230">
        <v>1988</v>
      </c>
      <c r="E230">
        <v>749</v>
      </c>
      <c r="F230">
        <v>217.45</v>
      </c>
      <c r="G230">
        <v>6.64</v>
      </c>
      <c r="H230">
        <v>9</v>
      </c>
      <c r="I230">
        <v>5</v>
      </c>
      <c r="J230">
        <v>4</v>
      </c>
      <c r="K230">
        <v>7</v>
      </c>
      <c r="L230" t="s">
        <v>141</v>
      </c>
      <c r="M230" t="s">
        <v>26</v>
      </c>
      <c r="N230" t="s">
        <v>67</v>
      </c>
      <c r="O230" t="s">
        <v>16</v>
      </c>
      <c r="P230" t="s">
        <v>8</v>
      </c>
      <c r="Q230" t="s">
        <v>36</v>
      </c>
    </row>
    <row r="231" spans="1:17" x14ac:dyDescent="0.3">
      <c r="A231" t="s">
        <v>478</v>
      </c>
      <c r="B231" t="s">
        <v>749</v>
      </c>
      <c r="C231" t="s">
        <v>3</v>
      </c>
      <c r="D231">
        <v>1997</v>
      </c>
      <c r="E231">
        <v>8564</v>
      </c>
      <c r="F231">
        <v>234.5</v>
      </c>
      <c r="G231">
        <v>-0.55000000000000004</v>
      </c>
      <c r="H231">
        <v>4</v>
      </c>
      <c r="I231">
        <v>7</v>
      </c>
      <c r="J231">
        <v>7</v>
      </c>
      <c r="K231">
        <v>6</v>
      </c>
      <c r="L231" t="s">
        <v>45</v>
      </c>
      <c r="M231" t="s">
        <v>5</v>
      </c>
      <c r="N231" t="s">
        <v>6</v>
      </c>
      <c r="O231" t="s">
        <v>21</v>
      </c>
      <c r="P231" t="s">
        <v>29</v>
      </c>
      <c r="Q231" t="s">
        <v>9</v>
      </c>
    </row>
    <row r="232" spans="1:17" x14ac:dyDescent="0.3">
      <c r="A232" t="s">
        <v>480</v>
      </c>
      <c r="B232" t="s">
        <v>750</v>
      </c>
      <c r="C232" t="s">
        <v>12</v>
      </c>
      <c r="D232">
        <v>2016</v>
      </c>
      <c r="E232">
        <v>1704</v>
      </c>
      <c r="F232">
        <v>395.02</v>
      </c>
      <c r="G232">
        <v>3.26</v>
      </c>
      <c r="H232">
        <v>8</v>
      </c>
      <c r="I232">
        <v>4</v>
      </c>
      <c r="J232">
        <v>6</v>
      </c>
      <c r="K232">
        <v>4</v>
      </c>
      <c r="L232" t="s">
        <v>13</v>
      </c>
      <c r="M232" t="s">
        <v>73</v>
      </c>
      <c r="N232" t="s">
        <v>212</v>
      </c>
      <c r="O232" t="s">
        <v>35</v>
      </c>
      <c r="P232" t="s">
        <v>29</v>
      </c>
      <c r="Q232" t="s">
        <v>18</v>
      </c>
    </row>
    <row r="233" spans="1:17" x14ac:dyDescent="0.3">
      <c r="A233" t="s">
        <v>482</v>
      </c>
      <c r="B233" t="s">
        <v>663</v>
      </c>
      <c r="C233" t="s">
        <v>48</v>
      </c>
      <c r="D233">
        <v>2005</v>
      </c>
      <c r="E233">
        <v>685</v>
      </c>
      <c r="F233">
        <v>203.94</v>
      </c>
      <c r="G233">
        <v>19.52</v>
      </c>
      <c r="H233">
        <v>6</v>
      </c>
      <c r="I233">
        <v>7</v>
      </c>
      <c r="J233">
        <v>4</v>
      </c>
      <c r="K233">
        <v>2</v>
      </c>
      <c r="L233" t="s">
        <v>121</v>
      </c>
      <c r="M233" t="s">
        <v>99</v>
      </c>
      <c r="N233" t="s">
        <v>51</v>
      </c>
      <c r="O233" t="s">
        <v>106</v>
      </c>
      <c r="P233" t="s">
        <v>42</v>
      </c>
      <c r="Q233" t="s">
        <v>36</v>
      </c>
    </row>
    <row r="234" spans="1:17" x14ac:dyDescent="0.3">
      <c r="A234" t="s">
        <v>483</v>
      </c>
      <c r="B234" t="s">
        <v>622</v>
      </c>
      <c r="C234" t="s">
        <v>3</v>
      </c>
      <c r="D234">
        <v>2011</v>
      </c>
      <c r="E234">
        <v>1659</v>
      </c>
      <c r="F234">
        <v>486.52</v>
      </c>
      <c r="G234">
        <v>0.64</v>
      </c>
      <c r="H234">
        <v>5</v>
      </c>
      <c r="I234">
        <v>3</v>
      </c>
      <c r="J234">
        <v>5</v>
      </c>
      <c r="K234">
        <v>7</v>
      </c>
      <c r="L234" t="s">
        <v>39</v>
      </c>
      <c r="M234" t="s">
        <v>157</v>
      </c>
      <c r="N234" t="s">
        <v>173</v>
      </c>
      <c r="O234" t="s">
        <v>21</v>
      </c>
      <c r="P234" t="s">
        <v>8</v>
      </c>
      <c r="Q234" t="s">
        <v>9</v>
      </c>
    </row>
    <row r="235" spans="1:17" x14ac:dyDescent="0.3">
      <c r="A235" t="s">
        <v>484</v>
      </c>
      <c r="B235" t="s">
        <v>624</v>
      </c>
      <c r="C235" t="s">
        <v>81</v>
      </c>
      <c r="D235">
        <v>2013</v>
      </c>
      <c r="E235">
        <v>6176</v>
      </c>
      <c r="F235">
        <v>412.3</v>
      </c>
      <c r="G235">
        <v>0.78</v>
      </c>
      <c r="H235">
        <v>8</v>
      </c>
      <c r="I235">
        <v>3</v>
      </c>
      <c r="J235">
        <v>3</v>
      </c>
      <c r="K235">
        <v>4</v>
      </c>
      <c r="L235" t="s">
        <v>82</v>
      </c>
      <c r="M235" t="s">
        <v>88</v>
      </c>
      <c r="N235" t="s">
        <v>209</v>
      </c>
      <c r="O235" t="s">
        <v>84</v>
      </c>
      <c r="P235" t="s">
        <v>29</v>
      </c>
      <c r="Q235" t="s">
        <v>18</v>
      </c>
    </row>
    <row r="236" spans="1:17" x14ac:dyDescent="0.3">
      <c r="A236" t="s">
        <v>485</v>
      </c>
      <c r="B236" t="s">
        <v>751</v>
      </c>
      <c r="C236" t="s">
        <v>24</v>
      </c>
      <c r="D236">
        <v>1982</v>
      </c>
      <c r="E236">
        <v>7528</v>
      </c>
      <c r="F236">
        <v>34.770000000000003</v>
      </c>
      <c r="G236">
        <v>2.2599999999999998</v>
      </c>
      <c r="H236">
        <v>6</v>
      </c>
      <c r="I236">
        <v>7</v>
      </c>
      <c r="J236">
        <v>4</v>
      </c>
      <c r="K236">
        <v>4</v>
      </c>
      <c r="L236" t="s">
        <v>305</v>
      </c>
      <c r="M236" t="s">
        <v>131</v>
      </c>
      <c r="N236" t="s">
        <v>27</v>
      </c>
      <c r="O236" t="s">
        <v>16</v>
      </c>
      <c r="P236" t="s">
        <v>8</v>
      </c>
      <c r="Q236" t="s">
        <v>9</v>
      </c>
    </row>
    <row r="237" spans="1:17" x14ac:dyDescent="0.3">
      <c r="A237" t="s">
        <v>487</v>
      </c>
      <c r="B237" t="s">
        <v>650</v>
      </c>
      <c r="C237" t="s">
        <v>81</v>
      </c>
      <c r="D237">
        <v>1991</v>
      </c>
      <c r="E237">
        <v>7825</v>
      </c>
      <c r="F237">
        <v>297.57</v>
      </c>
      <c r="G237">
        <v>-0.11</v>
      </c>
      <c r="H237">
        <v>6</v>
      </c>
      <c r="I237">
        <v>4</v>
      </c>
      <c r="J237">
        <v>4</v>
      </c>
      <c r="K237">
        <v>4</v>
      </c>
      <c r="L237" t="s">
        <v>87</v>
      </c>
      <c r="M237" t="s">
        <v>139</v>
      </c>
      <c r="N237" t="s">
        <v>82</v>
      </c>
      <c r="O237" t="s">
        <v>90</v>
      </c>
      <c r="P237" t="s">
        <v>8</v>
      </c>
      <c r="Q237" t="s">
        <v>36</v>
      </c>
    </row>
    <row r="238" spans="1:17" x14ac:dyDescent="0.3">
      <c r="A238" t="s">
        <v>488</v>
      </c>
      <c r="B238" t="s">
        <v>684</v>
      </c>
      <c r="C238" t="s">
        <v>24</v>
      </c>
      <c r="D238">
        <v>1994</v>
      </c>
      <c r="E238">
        <v>3437</v>
      </c>
      <c r="F238">
        <v>141.85</v>
      </c>
      <c r="G238">
        <v>1.71</v>
      </c>
      <c r="H238">
        <v>7</v>
      </c>
      <c r="I238">
        <v>6</v>
      </c>
      <c r="J238">
        <v>3</v>
      </c>
      <c r="K238">
        <v>7</v>
      </c>
      <c r="L238" t="s">
        <v>60</v>
      </c>
      <c r="M238" t="s">
        <v>131</v>
      </c>
      <c r="N238" t="s">
        <v>132</v>
      </c>
      <c r="O238" t="s">
        <v>200</v>
      </c>
      <c r="P238" t="s">
        <v>8</v>
      </c>
      <c r="Q238" t="s">
        <v>96</v>
      </c>
    </row>
    <row r="239" spans="1:17" x14ac:dyDescent="0.3">
      <c r="A239" t="s">
        <v>489</v>
      </c>
      <c r="B239" t="s">
        <v>628</v>
      </c>
      <c r="C239" t="s">
        <v>81</v>
      </c>
      <c r="D239">
        <v>2004</v>
      </c>
      <c r="E239">
        <v>5763</v>
      </c>
      <c r="F239">
        <v>234.91</v>
      </c>
      <c r="G239">
        <v>11.84</v>
      </c>
      <c r="H239">
        <v>5</v>
      </c>
      <c r="I239">
        <v>5</v>
      </c>
      <c r="J239">
        <v>5</v>
      </c>
      <c r="K239">
        <v>7</v>
      </c>
      <c r="L239" t="s">
        <v>82</v>
      </c>
      <c r="M239" t="s">
        <v>88</v>
      </c>
      <c r="N239" t="s">
        <v>82</v>
      </c>
      <c r="O239" t="s">
        <v>84</v>
      </c>
      <c r="P239" t="s">
        <v>42</v>
      </c>
      <c r="Q239" t="s">
        <v>9</v>
      </c>
    </row>
    <row r="240" spans="1:17" x14ac:dyDescent="0.3">
      <c r="A240" t="s">
        <v>490</v>
      </c>
      <c r="B240" t="s">
        <v>752</v>
      </c>
      <c r="C240" t="s">
        <v>12</v>
      </c>
      <c r="D240">
        <v>2010</v>
      </c>
      <c r="E240">
        <v>1095</v>
      </c>
      <c r="F240">
        <v>174.78</v>
      </c>
      <c r="G240">
        <v>21.99</v>
      </c>
      <c r="H240">
        <v>6</v>
      </c>
      <c r="I240">
        <v>7</v>
      </c>
      <c r="J240">
        <v>5</v>
      </c>
      <c r="K240">
        <v>4</v>
      </c>
      <c r="L240" t="s">
        <v>32</v>
      </c>
      <c r="M240" t="s">
        <v>14</v>
      </c>
      <c r="N240" t="s">
        <v>56</v>
      </c>
      <c r="O240" t="s">
        <v>16</v>
      </c>
      <c r="P240" t="s">
        <v>29</v>
      </c>
      <c r="Q240" t="s">
        <v>9</v>
      </c>
    </row>
    <row r="241" spans="1:17" x14ac:dyDescent="0.3">
      <c r="A241" t="s">
        <v>492</v>
      </c>
      <c r="B241" t="s">
        <v>630</v>
      </c>
      <c r="C241" t="s">
        <v>24</v>
      </c>
      <c r="D241">
        <v>1981</v>
      </c>
      <c r="E241">
        <v>8198</v>
      </c>
      <c r="F241">
        <v>498.76</v>
      </c>
      <c r="G241">
        <v>22.2</v>
      </c>
      <c r="H241">
        <v>6</v>
      </c>
      <c r="I241">
        <v>5</v>
      </c>
      <c r="J241">
        <v>6</v>
      </c>
      <c r="K241">
        <v>5</v>
      </c>
      <c r="L241" t="s">
        <v>60</v>
      </c>
      <c r="M241" t="s">
        <v>66</v>
      </c>
      <c r="N241" t="s">
        <v>67</v>
      </c>
      <c r="O241" t="s">
        <v>200</v>
      </c>
      <c r="P241" t="s">
        <v>17</v>
      </c>
      <c r="Q241" t="s">
        <v>36</v>
      </c>
    </row>
    <row r="242" spans="1:17" x14ac:dyDescent="0.3">
      <c r="A242" t="s">
        <v>588</v>
      </c>
      <c r="B242" t="s">
        <v>680</v>
      </c>
      <c r="C242" t="s">
        <v>3</v>
      </c>
      <c r="D242">
        <v>1990</v>
      </c>
      <c r="E242">
        <v>9196</v>
      </c>
      <c r="F242">
        <v>98.76</v>
      </c>
      <c r="G242">
        <v>5.66</v>
      </c>
      <c r="H242">
        <v>4</v>
      </c>
      <c r="I242">
        <v>5</v>
      </c>
      <c r="J242">
        <v>4</v>
      </c>
      <c r="K242">
        <v>7</v>
      </c>
      <c r="L242" t="s">
        <v>161</v>
      </c>
      <c r="M242" t="s">
        <v>115</v>
      </c>
      <c r="N242" t="s">
        <v>173</v>
      </c>
      <c r="O242" t="s">
        <v>7</v>
      </c>
      <c r="P242" t="s">
        <v>29</v>
      </c>
      <c r="Q242" t="s">
        <v>96</v>
      </c>
    </row>
    <row r="243" spans="1:17" x14ac:dyDescent="0.3">
      <c r="A243" t="s">
        <v>494</v>
      </c>
      <c r="B243" t="s">
        <v>659</v>
      </c>
      <c r="C243" t="s">
        <v>3</v>
      </c>
      <c r="D243">
        <v>2003</v>
      </c>
      <c r="E243">
        <v>4319</v>
      </c>
      <c r="F243">
        <v>296.93</v>
      </c>
      <c r="G243">
        <v>21.02</v>
      </c>
      <c r="H243">
        <v>7</v>
      </c>
      <c r="I243">
        <v>2</v>
      </c>
      <c r="J243">
        <v>6</v>
      </c>
      <c r="K243">
        <v>2</v>
      </c>
      <c r="L243" t="s">
        <v>45</v>
      </c>
      <c r="M243" t="s">
        <v>77</v>
      </c>
      <c r="N243" t="s">
        <v>40</v>
      </c>
      <c r="O243" t="s">
        <v>41</v>
      </c>
      <c r="P243" t="s">
        <v>8</v>
      </c>
      <c r="Q243" t="s">
        <v>18</v>
      </c>
    </row>
    <row r="244" spans="1:17" x14ac:dyDescent="0.3">
      <c r="A244" t="s">
        <v>495</v>
      </c>
      <c r="B244" t="s">
        <v>753</v>
      </c>
      <c r="C244" t="s">
        <v>3</v>
      </c>
      <c r="D244">
        <v>2006</v>
      </c>
      <c r="E244">
        <v>935</v>
      </c>
      <c r="F244">
        <v>436.72</v>
      </c>
      <c r="G244">
        <v>18.37</v>
      </c>
      <c r="H244">
        <v>5</v>
      </c>
      <c r="I244">
        <v>3</v>
      </c>
      <c r="J244">
        <v>4</v>
      </c>
      <c r="K244">
        <v>4</v>
      </c>
      <c r="L244" t="s">
        <v>39</v>
      </c>
      <c r="M244" t="s">
        <v>5</v>
      </c>
      <c r="N244" t="s">
        <v>116</v>
      </c>
      <c r="O244" t="s">
        <v>78</v>
      </c>
      <c r="P244" t="s">
        <v>29</v>
      </c>
      <c r="Q244" t="s">
        <v>36</v>
      </c>
    </row>
    <row r="245" spans="1:17" x14ac:dyDescent="0.3">
      <c r="A245" t="s">
        <v>497</v>
      </c>
      <c r="B245" t="s">
        <v>754</v>
      </c>
      <c r="C245" t="s">
        <v>24</v>
      </c>
      <c r="D245">
        <v>2000</v>
      </c>
      <c r="E245">
        <v>1000</v>
      </c>
      <c r="F245">
        <v>12.31</v>
      </c>
      <c r="G245">
        <v>14</v>
      </c>
      <c r="H245">
        <v>6</v>
      </c>
      <c r="I245">
        <v>3</v>
      </c>
      <c r="J245">
        <v>4</v>
      </c>
      <c r="K245">
        <v>6</v>
      </c>
      <c r="L245" t="s">
        <v>141</v>
      </c>
      <c r="M245" t="s">
        <v>131</v>
      </c>
      <c r="N245" t="s">
        <v>93</v>
      </c>
      <c r="O245" t="s">
        <v>200</v>
      </c>
      <c r="P245" t="s">
        <v>17</v>
      </c>
      <c r="Q245" t="s">
        <v>36</v>
      </c>
    </row>
    <row r="246" spans="1:17" x14ac:dyDescent="0.3">
      <c r="A246" t="s">
        <v>499</v>
      </c>
      <c r="B246" t="s">
        <v>598</v>
      </c>
      <c r="C246" t="s">
        <v>81</v>
      </c>
      <c r="D246">
        <v>2004</v>
      </c>
      <c r="E246">
        <v>126</v>
      </c>
      <c r="F246">
        <v>28.49</v>
      </c>
      <c r="G246">
        <v>1.79</v>
      </c>
      <c r="H246">
        <v>5</v>
      </c>
      <c r="I246">
        <v>7</v>
      </c>
      <c r="J246">
        <v>5</v>
      </c>
      <c r="K246">
        <v>2</v>
      </c>
      <c r="L246" t="s">
        <v>103</v>
      </c>
      <c r="M246" t="s">
        <v>104</v>
      </c>
      <c r="N246" t="s">
        <v>82</v>
      </c>
      <c r="O246" t="s">
        <v>84</v>
      </c>
      <c r="P246" t="s">
        <v>29</v>
      </c>
      <c r="Q246" t="s">
        <v>36</v>
      </c>
    </row>
    <row r="247" spans="1:17" x14ac:dyDescent="0.3">
      <c r="A247" t="s">
        <v>500</v>
      </c>
      <c r="B247" t="s">
        <v>639</v>
      </c>
      <c r="C247" t="s">
        <v>24</v>
      </c>
      <c r="D247">
        <v>1986</v>
      </c>
      <c r="E247">
        <v>6334</v>
      </c>
      <c r="F247">
        <v>256.63</v>
      </c>
      <c r="G247">
        <v>21.64</v>
      </c>
      <c r="H247">
        <v>6</v>
      </c>
      <c r="I247">
        <v>3</v>
      </c>
      <c r="J247">
        <v>3</v>
      </c>
      <c r="K247">
        <v>2</v>
      </c>
      <c r="L247" t="s">
        <v>305</v>
      </c>
      <c r="M247" t="s">
        <v>26</v>
      </c>
      <c r="N247" t="s">
        <v>27</v>
      </c>
      <c r="O247" t="s">
        <v>28</v>
      </c>
      <c r="P247" t="s">
        <v>17</v>
      </c>
      <c r="Q247" t="s">
        <v>18</v>
      </c>
    </row>
    <row r="248" spans="1:17" x14ac:dyDescent="0.3">
      <c r="A248" t="s">
        <v>501</v>
      </c>
      <c r="B248" t="s">
        <v>755</v>
      </c>
      <c r="C248" t="s">
        <v>81</v>
      </c>
      <c r="D248">
        <v>2002</v>
      </c>
      <c r="E248">
        <v>3137</v>
      </c>
      <c r="F248">
        <v>90.79</v>
      </c>
      <c r="G248">
        <v>6</v>
      </c>
      <c r="H248">
        <v>7</v>
      </c>
      <c r="I248">
        <v>2</v>
      </c>
      <c r="J248">
        <v>4</v>
      </c>
      <c r="K248">
        <v>3</v>
      </c>
      <c r="L248" t="s">
        <v>144</v>
      </c>
      <c r="M248" t="s">
        <v>104</v>
      </c>
      <c r="N248" t="s">
        <v>82</v>
      </c>
      <c r="O248" t="s">
        <v>111</v>
      </c>
      <c r="P248" t="s">
        <v>8</v>
      </c>
      <c r="Q248" t="s">
        <v>18</v>
      </c>
    </row>
    <row r="249" spans="1:17" x14ac:dyDescent="0.3">
      <c r="A249" t="s">
        <v>503</v>
      </c>
      <c r="B249" t="s">
        <v>756</v>
      </c>
      <c r="C249" t="s">
        <v>3</v>
      </c>
      <c r="D249">
        <v>2014</v>
      </c>
      <c r="E249">
        <v>846</v>
      </c>
      <c r="F249">
        <v>301.02</v>
      </c>
      <c r="G249">
        <v>6.41</v>
      </c>
      <c r="H249">
        <v>4</v>
      </c>
      <c r="I249">
        <v>7</v>
      </c>
      <c r="J249">
        <v>3</v>
      </c>
      <c r="K249">
        <v>7</v>
      </c>
      <c r="L249" t="s">
        <v>4</v>
      </c>
      <c r="M249" t="s">
        <v>77</v>
      </c>
      <c r="N249" t="s">
        <v>6</v>
      </c>
      <c r="O249" t="s">
        <v>21</v>
      </c>
      <c r="P249" t="s">
        <v>17</v>
      </c>
      <c r="Q249" t="s">
        <v>96</v>
      </c>
    </row>
    <row r="250" spans="1:17" x14ac:dyDescent="0.3">
      <c r="A250" t="s">
        <v>505</v>
      </c>
      <c r="B250" t="s">
        <v>622</v>
      </c>
      <c r="C250" t="s">
        <v>81</v>
      </c>
      <c r="D250">
        <v>1989</v>
      </c>
      <c r="E250">
        <v>3416</v>
      </c>
      <c r="F250">
        <v>350.64</v>
      </c>
      <c r="G250">
        <v>10.35</v>
      </c>
      <c r="H250">
        <v>9</v>
      </c>
      <c r="I250">
        <v>2</v>
      </c>
      <c r="J250">
        <v>5</v>
      </c>
      <c r="K250">
        <v>5</v>
      </c>
      <c r="L250" t="s">
        <v>87</v>
      </c>
      <c r="M250" t="s">
        <v>139</v>
      </c>
      <c r="N250" t="s">
        <v>209</v>
      </c>
      <c r="O250" t="s">
        <v>90</v>
      </c>
      <c r="P250" t="s">
        <v>8</v>
      </c>
      <c r="Q250" t="s">
        <v>18</v>
      </c>
    </row>
    <row r="251" spans="1:17" x14ac:dyDescent="0.3">
      <c r="A251" t="s">
        <v>506</v>
      </c>
      <c r="B251" t="s">
        <v>648</v>
      </c>
      <c r="C251" t="s">
        <v>12</v>
      </c>
      <c r="D251">
        <v>1986</v>
      </c>
      <c r="E251">
        <v>8204</v>
      </c>
      <c r="F251">
        <v>107.34</v>
      </c>
      <c r="G251">
        <v>11.44</v>
      </c>
      <c r="H251">
        <v>5</v>
      </c>
      <c r="I251">
        <v>4</v>
      </c>
      <c r="J251">
        <v>7</v>
      </c>
      <c r="K251">
        <v>3</v>
      </c>
      <c r="L251" t="s">
        <v>32</v>
      </c>
      <c r="M251" t="s">
        <v>73</v>
      </c>
      <c r="N251" t="s">
        <v>34</v>
      </c>
      <c r="O251" t="s">
        <v>16</v>
      </c>
      <c r="P251" t="s">
        <v>8</v>
      </c>
      <c r="Q251" t="s">
        <v>18</v>
      </c>
    </row>
    <row r="252" spans="1:17" x14ac:dyDescent="0.3">
      <c r="A252" t="s">
        <v>507</v>
      </c>
      <c r="B252" t="s">
        <v>651</v>
      </c>
      <c r="C252" t="s">
        <v>3</v>
      </c>
      <c r="D252">
        <v>1995</v>
      </c>
      <c r="E252">
        <v>94</v>
      </c>
      <c r="F252">
        <v>16.25</v>
      </c>
      <c r="G252">
        <v>22.14</v>
      </c>
      <c r="H252">
        <v>4</v>
      </c>
      <c r="I252">
        <v>2</v>
      </c>
      <c r="J252">
        <v>7</v>
      </c>
      <c r="K252">
        <v>7</v>
      </c>
      <c r="L252" t="s">
        <v>39</v>
      </c>
      <c r="M252" t="s">
        <v>115</v>
      </c>
      <c r="N252" t="s">
        <v>6</v>
      </c>
      <c r="O252" t="s">
        <v>7</v>
      </c>
      <c r="P252" t="s">
        <v>8</v>
      </c>
      <c r="Q252" t="s">
        <v>36</v>
      </c>
    </row>
    <row r="253" spans="1:17" x14ac:dyDescent="0.3">
      <c r="A253" t="s">
        <v>508</v>
      </c>
      <c r="B253" t="s">
        <v>698</v>
      </c>
      <c r="C253" t="s">
        <v>3</v>
      </c>
      <c r="D253">
        <v>1996</v>
      </c>
      <c r="E253">
        <v>7656</v>
      </c>
      <c r="F253">
        <v>34.54</v>
      </c>
      <c r="G253">
        <v>-4.71</v>
      </c>
      <c r="H253">
        <v>5</v>
      </c>
      <c r="I253">
        <v>2</v>
      </c>
      <c r="J253">
        <v>5</v>
      </c>
      <c r="K253">
        <v>4</v>
      </c>
      <c r="L253" t="s">
        <v>161</v>
      </c>
      <c r="M253" t="s">
        <v>5</v>
      </c>
      <c r="N253" t="s">
        <v>6</v>
      </c>
      <c r="O253" t="s">
        <v>7</v>
      </c>
      <c r="P253" t="s">
        <v>8</v>
      </c>
      <c r="Q253" t="s">
        <v>18</v>
      </c>
    </row>
    <row r="254" spans="1:17" x14ac:dyDescent="0.3">
      <c r="A254" t="s">
        <v>509</v>
      </c>
      <c r="B254" t="s">
        <v>712</v>
      </c>
      <c r="C254" t="s">
        <v>3</v>
      </c>
      <c r="D254">
        <v>2002</v>
      </c>
      <c r="E254">
        <v>7221</v>
      </c>
      <c r="F254">
        <v>477.99</v>
      </c>
      <c r="G254">
        <v>23.87</v>
      </c>
      <c r="H254">
        <v>6</v>
      </c>
      <c r="I254">
        <v>7</v>
      </c>
      <c r="J254">
        <v>3</v>
      </c>
      <c r="K254">
        <v>4</v>
      </c>
      <c r="L254" t="s">
        <v>161</v>
      </c>
      <c r="M254" t="s">
        <v>115</v>
      </c>
      <c r="N254" t="s">
        <v>6</v>
      </c>
      <c r="O254" t="s">
        <v>21</v>
      </c>
      <c r="P254" t="s">
        <v>17</v>
      </c>
      <c r="Q254" t="s">
        <v>9</v>
      </c>
    </row>
    <row r="255" spans="1:17" x14ac:dyDescent="0.3">
      <c r="A255" t="s">
        <v>510</v>
      </c>
      <c r="B255" t="s">
        <v>757</v>
      </c>
      <c r="C255" t="s">
        <v>81</v>
      </c>
      <c r="D255">
        <v>2006</v>
      </c>
      <c r="E255">
        <v>2782</v>
      </c>
      <c r="F255">
        <v>65.400000000000006</v>
      </c>
      <c r="G255">
        <v>13.34</v>
      </c>
      <c r="H255">
        <v>9</v>
      </c>
      <c r="I255">
        <v>7</v>
      </c>
      <c r="J255">
        <v>3</v>
      </c>
      <c r="K255">
        <v>3</v>
      </c>
      <c r="L255" t="s">
        <v>87</v>
      </c>
      <c r="M255" t="s">
        <v>88</v>
      </c>
      <c r="N255" t="s">
        <v>145</v>
      </c>
      <c r="O255" t="s">
        <v>90</v>
      </c>
      <c r="P255" t="s">
        <v>29</v>
      </c>
      <c r="Q255" t="s">
        <v>36</v>
      </c>
    </row>
    <row r="256" spans="1:17" x14ac:dyDescent="0.3">
      <c r="A256" t="s">
        <v>512</v>
      </c>
      <c r="B256" t="s">
        <v>592</v>
      </c>
      <c r="C256" t="s">
        <v>12</v>
      </c>
      <c r="D256">
        <v>1988</v>
      </c>
      <c r="E256">
        <v>7964</v>
      </c>
      <c r="F256">
        <v>461</v>
      </c>
      <c r="G256">
        <v>24.34</v>
      </c>
      <c r="H256">
        <v>4</v>
      </c>
      <c r="I256">
        <v>5</v>
      </c>
      <c r="J256">
        <v>6</v>
      </c>
      <c r="K256">
        <v>2</v>
      </c>
      <c r="L256" t="s">
        <v>235</v>
      </c>
      <c r="M256" t="s">
        <v>14</v>
      </c>
      <c r="N256" t="s">
        <v>34</v>
      </c>
      <c r="O256" t="s">
        <v>35</v>
      </c>
      <c r="P256" t="s">
        <v>29</v>
      </c>
      <c r="Q256" t="s">
        <v>36</v>
      </c>
    </row>
    <row r="257" spans="1:17" x14ac:dyDescent="0.3">
      <c r="A257" t="s">
        <v>513</v>
      </c>
      <c r="B257" t="s">
        <v>758</v>
      </c>
      <c r="C257" t="s">
        <v>48</v>
      </c>
      <c r="D257">
        <v>2019</v>
      </c>
      <c r="E257">
        <v>1610</v>
      </c>
      <c r="F257">
        <v>222.1</v>
      </c>
      <c r="G257">
        <v>10.17</v>
      </c>
      <c r="H257">
        <v>9</v>
      </c>
      <c r="I257">
        <v>3</v>
      </c>
      <c r="J257">
        <v>6</v>
      </c>
      <c r="K257">
        <v>4</v>
      </c>
      <c r="L257" t="s">
        <v>121</v>
      </c>
      <c r="M257" t="s">
        <v>14</v>
      </c>
      <c r="N257" t="s">
        <v>61</v>
      </c>
      <c r="O257" t="s">
        <v>106</v>
      </c>
      <c r="P257" t="s">
        <v>29</v>
      </c>
      <c r="Q257" t="s">
        <v>18</v>
      </c>
    </row>
    <row r="258" spans="1:17" x14ac:dyDescent="0.3">
      <c r="A258" t="s">
        <v>515</v>
      </c>
      <c r="B258" t="s">
        <v>676</v>
      </c>
      <c r="C258" t="s">
        <v>24</v>
      </c>
      <c r="D258">
        <v>1984</v>
      </c>
      <c r="E258">
        <v>8105</v>
      </c>
      <c r="F258">
        <v>167.11</v>
      </c>
      <c r="G258">
        <v>8.77</v>
      </c>
      <c r="H258">
        <v>6</v>
      </c>
      <c r="I258">
        <v>4</v>
      </c>
      <c r="J258">
        <v>3</v>
      </c>
      <c r="K258">
        <v>6</v>
      </c>
      <c r="L258" t="s">
        <v>141</v>
      </c>
      <c r="M258" t="s">
        <v>131</v>
      </c>
      <c r="N258" t="s">
        <v>27</v>
      </c>
      <c r="O258" t="s">
        <v>200</v>
      </c>
      <c r="P258" t="s">
        <v>8</v>
      </c>
      <c r="Q258" t="s">
        <v>9</v>
      </c>
    </row>
    <row r="259" spans="1:17" x14ac:dyDescent="0.3">
      <c r="A259" t="s">
        <v>516</v>
      </c>
      <c r="B259" t="s">
        <v>698</v>
      </c>
      <c r="C259" t="s">
        <v>12</v>
      </c>
      <c r="D259">
        <v>2011</v>
      </c>
      <c r="E259">
        <v>7374</v>
      </c>
      <c r="F259">
        <v>164.87</v>
      </c>
      <c r="G259">
        <v>19.78</v>
      </c>
      <c r="H259">
        <v>7</v>
      </c>
      <c r="I259">
        <v>7</v>
      </c>
      <c r="J259">
        <v>8</v>
      </c>
      <c r="K259">
        <v>2</v>
      </c>
      <c r="L259" t="s">
        <v>235</v>
      </c>
      <c r="M259" t="s">
        <v>73</v>
      </c>
      <c r="N259" t="s">
        <v>212</v>
      </c>
      <c r="O259" t="s">
        <v>35</v>
      </c>
      <c r="P259" t="s">
        <v>8</v>
      </c>
      <c r="Q259" t="s">
        <v>18</v>
      </c>
    </row>
    <row r="260" spans="1:17" x14ac:dyDescent="0.3">
      <c r="A260" t="s">
        <v>517</v>
      </c>
      <c r="B260" t="s">
        <v>668</v>
      </c>
      <c r="C260" t="s">
        <v>48</v>
      </c>
      <c r="D260">
        <v>1993</v>
      </c>
      <c r="E260">
        <v>7524</v>
      </c>
      <c r="F260">
        <v>475.67</v>
      </c>
      <c r="G260">
        <v>-2.08</v>
      </c>
      <c r="H260">
        <v>6</v>
      </c>
      <c r="I260">
        <v>2</v>
      </c>
      <c r="J260">
        <v>4</v>
      </c>
      <c r="K260">
        <v>5</v>
      </c>
      <c r="L260" t="s">
        <v>124</v>
      </c>
      <c r="M260" t="s">
        <v>154</v>
      </c>
      <c r="N260" t="s">
        <v>51</v>
      </c>
      <c r="O260" t="s">
        <v>62</v>
      </c>
      <c r="P260" t="s">
        <v>8</v>
      </c>
      <c r="Q260" t="s">
        <v>36</v>
      </c>
    </row>
    <row r="261" spans="1:17" x14ac:dyDescent="0.3">
      <c r="A261" t="s">
        <v>518</v>
      </c>
      <c r="B261" t="s">
        <v>759</v>
      </c>
      <c r="C261" t="s">
        <v>3</v>
      </c>
      <c r="D261">
        <v>2002</v>
      </c>
      <c r="E261">
        <v>4833</v>
      </c>
      <c r="F261">
        <v>278.37</v>
      </c>
      <c r="G261">
        <v>2.63</v>
      </c>
      <c r="H261">
        <v>6</v>
      </c>
      <c r="I261">
        <v>7</v>
      </c>
      <c r="J261">
        <v>3</v>
      </c>
      <c r="K261">
        <v>2</v>
      </c>
      <c r="L261" t="s">
        <v>103</v>
      </c>
      <c r="M261" t="s">
        <v>5</v>
      </c>
      <c r="N261" t="s">
        <v>116</v>
      </c>
      <c r="O261" t="s">
        <v>21</v>
      </c>
      <c r="P261" t="s">
        <v>8</v>
      </c>
      <c r="Q261" t="s">
        <v>9</v>
      </c>
    </row>
    <row r="262" spans="1:17" x14ac:dyDescent="0.3">
      <c r="A262" t="s">
        <v>520</v>
      </c>
      <c r="B262" t="s">
        <v>669</v>
      </c>
      <c r="C262" t="s">
        <v>12</v>
      </c>
      <c r="D262">
        <v>2005</v>
      </c>
      <c r="E262">
        <v>3582</v>
      </c>
      <c r="F262">
        <v>233.95</v>
      </c>
      <c r="G262">
        <v>14.75</v>
      </c>
      <c r="H262">
        <v>5</v>
      </c>
      <c r="I262">
        <v>7</v>
      </c>
      <c r="J262">
        <v>5</v>
      </c>
      <c r="K262">
        <v>2</v>
      </c>
      <c r="L262" t="s">
        <v>13</v>
      </c>
      <c r="M262" t="s">
        <v>152</v>
      </c>
      <c r="N262" t="s">
        <v>15</v>
      </c>
      <c r="O262" t="s">
        <v>74</v>
      </c>
      <c r="P262" t="s">
        <v>17</v>
      </c>
      <c r="Q262" t="s">
        <v>36</v>
      </c>
    </row>
    <row r="263" spans="1:17" x14ac:dyDescent="0.3">
      <c r="A263" t="s">
        <v>521</v>
      </c>
      <c r="B263" t="s">
        <v>614</v>
      </c>
      <c r="C263" t="s">
        <v>81</v>
      </c>
      <c r="D263">
        <v>1980</v>
      </c>
      <c r="E263">
        <v>8739</v>
      </c>
      <c r="F263">
        <v>370.74</v>
      </c>
      <c r="G263">
        <v>6.62</v>
      </c>
      <c r="H263">
        <v>8</v>
      </c>
      <c r="I263">
        <v>5</v>
      </c>
      <c r="J263">
        <v>7</v>
      </c>
      <c r="K263">
        <v>5</v>
      </c>
      <c r="L263" t="s">
        <v>82</v>
      </c>
      <c r="M263" t="s">
        <v>104</v>
      </c>
      <c r="N263" t="s">
        <v>209</v>
      </c>
      <c r="O263" t="s">
        <v>111</v>
      </c>
      <c r="P263" t="s">
        <v>8</v>
      </c>
      <c r="Q263" t="s">
        <v>18</v>
      </c>
    </row>
    <row r="264" spans="1:17" x14ac:dyDescent="0.3">
      <c r="A264" t="s">
        <v>522</v>
      </c>
      <c r="B264" t="s">
        <v>644</v>
      </c>
      <c r="C264" t="s">
        <v>81</v>
      </c>
      <c r="D264">
        <v>2006</v>
      </c>
      <c r="E264">
        <v>4117</v>
      </c>
      <c r="F264">
        <v>144.06</v>
      </c>
      <c r="G264">
        <v>1.03</v>
      </c>
      <c r="H264">
        <v>6</v>
      </c>
      <c r="I264">
        <v>4</v>
      </c>
      <c r="J264">
        <v>6</v>
      </c>
      <c r="K264">
        <v>3</v>
      </c>
      <c r="L264" t="s">
        <v>144</v>
      </c>
      <c r="M264" t="s">
        <v>88</v>
      </c>
      <c r="N264" t="s">
        <v>89</v>
      </c>
      <c r="O264" t="s">
        <v>166</v>
      </c>
      <c r="P264" t="s">
        <v>29</v>
      </c>
      <c r="Q264" t="s">
        <v>18</v>
      </c>
    </row>
    <row r="265" spans="1:17" x14ac:dyDescent="0.3">
      <c r="A265" t="s">
        <v>523</v>
      </c>
      <c r="B265" t="s">
        <v>742</v>
      </c>
      <c r="C265" t="s">
        <v>24</v>
      </c>
      <c r="D265">
        <v>1991</v>
      </c>
      <c r="E265">
        <v>8305</v>
      </c>
      <c r="F265">
        <v>275.82</v>
      </c>
      <c r="G265">
        <v>19.25</v>
      </c>
      <c r="H265">
        <v>9</v>
      </c>
      <c r="I265">
        <v>4</v>
      </c>
      <c r="J265">
        <v>8</v>
      </c>
      <c r="K265">
        <v>2</v>
      </c>
      <c r="L265" t="s">
        <v>305</v>
      </c>
      <c r="M265" t="s">
        <v>131</v>
      </c>
      <c r="N265" t="s">
        <v>27</v>
      </c>
      <c r="O265" t="s">
        <v>28</v>
      </c>
      <c r="P265" t="s">
        <v>17</v>
      </c>
      <c r="Q265" t="s">
        <v>18</v>
      </c>
    </row>
    <row r="266" spans="1:17" x14ac:dyDescent="0.3">
      <c r="A266" t="s">
        <v>524</v>
      </c>
      <c r="B266" t="s">
        <v>760</v>
      </c>
      <c r="C266" t="s">
        <v>12</v>
      </c>
      <c r="D266">
        <v>2004</v>
      </c>
      <c r="E266">
        <v>2431</v>
      </c>
      <c r="F266">
        <v>36</v>
      </c>
      <c r="G266">
        <v>1.1200000000000001</v>
      </c>
      <c r="H266">
        <v>4</v>
      </c>
      <c r="I266">
        <v>3</v>
      </c>
      <c r="J266">
        <v>5</v>
      </c>
      <c r="K266">
        <v>3</v>
      </c>
      <c r="L266" t="s">
        <v>32</v>
      </c>
      <c r="M266" t="s">
        <v>14</v>
      </c>
      <c r="N266" t="s">
        <v>56</v>
      </c>
      <c r="O266" t="s">
        <v>35</v>
      </c>
      <c r="P266" t="s">
        <v>42</v>
      </c>
      <c r="Q266" t="s">
        <v>36</v>
      </c>
    </row>
    <row r="267" spans="1:17" x14ac:dyDescent="0.3">
      <c r="A267" t="s">
        <v>526</v>
      </c>
      <c r="B267" t="s">
        <v>751</v>
      </c>
      <c r="C267" t="s">
        <v>3</v>
      </c>
      <c r="D267">
        <v>2008</v>
      </c>
      <c r="E267">
        <v>1729</v>
      </c>
      <c r="F267">
        <v>311.89</v>
      </c>
      <c r="G267">
        <v>22.79</v>
      </c>
      <c r="H267">
        <v>9</v>
      </c>
      <c r="I267">
        <v>7</v>
      </c>
      <c r="J267">
        <v>7</v>
      </c>
      <c r="K267">
        <v>3</v>
      </c>
      <c r="L267" t="s">
        <v>45</v>
      </c>
      <c r="M267" t="s">
        <v>5</v>
      </c>
      <c r="N267" t="s">
        <v>116</v>
      </c>
      <c r="O267" t="s">
        <v>78</v>
      </c>
      <c r="P267" t="s">
        <v>8</v>
      </c>
      <c r="Q267" t="s">
        <v>18</v>
      </c>
    </row>
    <row r="268" spans="1:17" x14ac:dyDescent="0.3">
      <c r="A268" t="s">
        <v>527</v>
      </c>
      <c r="B268" t="s">
        <v>671</v>
      </c>
      <c r="C268" t="s">
        <v>3</v>
      </c>
      <c r="D268">
        <v>2015</v>
      </c>
      <c r="E268">
        <v>931</v>
      </c>
      <c r="F268">
        <v>16.350000000000001</v>
      </c>
      <c r="G268">
        <v>8.4600000000000009</v>
      </c>
      <c r="H268">
        <v>6</v>
      </c>
      <c r="I268">
        <v>3</v>
      </c>
      <c r="J268">
        <v>7</v>
      </c>
      <c r="K268">
        <v>5</v>
      </c>
      <c r="L268" t="s">
        <v>103</v>
      </c>
      <c r="M268" t="s">
        <v>157</v>
      </c>
      <c r="N268" t="s">
        <v>116</v>
      </c>
      <c r="O268" t="s">
        <v>41</v>
      </c>
      <c r="P268" t="s">
        <v>42</v>
      </c>
      <c r="Q268" t="s">
        <v>18</v>
      </c>
    </row>
    <row r="269" spans="1:17" x14ac:dyDescent="0.3">
      <c r="A269" t="s">
        <v>528</v>
      </c>
      <c r="B269" t="s">
        <v>761</v>
      </c>
      <c r="C269" t="s">
        <v>24</v>
      </c>
      <c r="D269">
        <v>2012</v>
      </c>
      <c r="E269">
        <v>2005</v>
      </c>
      <c r="F269">
        <v>194.83</v>
      </c>
      <c r="G269">
        <v>8.99</v>
      </c>
      <c r="H269">
        <v>7</v>
      </c>
      <c r="I269">
        <v>4</v>
      </c>
      <c r="J269">
        <v>7</v>
      </c>
      <c r="K269">
        <v>4</v>
      </c>
      <c r="L269" t="s">
        <v>141</v>
      </c>
      <c r="M269" t="s">
        <v>66</v>
      </c>
      <c r="N269" t="s">
        <v>67</v>
      </c>
      <c r="O269" t="s">
        <v>16</v>
      </c>
      <c r="P269" t="s">
        <v>42</v>
      </c>
      <c r="Q269" t="s">
        <v>18</v>
      </c>
    </row>
    <row r="270" spans="1:17" x14ac:dyDescent="0.3">
      <c r="A270" t="s">
        <v>530</v>
      </c>
      <c r="B270" t="s">
        <v>762</v>
      </c>
      <c r="C270" t="s">
        <v>24</v>
      </c>
      <c r="D270">
        <v>2000</v>
      </c>
      <c r="E270">
        <v>9829</v>
      </c>
      <c r="F270">
        <v>34.92</v>
      </c>
      <c r="G270">
        <v>23.71</v>
      </c>
      <c r="H270">
        <v>9</v>
      </c>
      <c r="I270">
        <v>6</v>
      </c>
      <c r="J270">
        <v>8</v>
      </c>
      <c r="K270">
        <v>4</v>
      </c>
      <c r="L270" t="s">
        <v>25</v>
      </c>
      <c r="M270" t="s">
        <v>26</v>
      </c>
      <c r="N270" t="s">
        <v>93</v>
      </c>
      <c r="O270" t="s">
        <v>28</v>
      </c>
      <c r="P270" t="s">
        <v>29</v>
      </c>
      <c r="Q270" t="s">
        <v>18</v>
      </c>
    </row>
    <row r="271" spans="1:17" x14ac:dyDescent="0.3">
      <c r="A271" t="s">
        <v>532</v>
      </c>
      <c r="B271" t="s">
        <v>763</v>
      </c>
      <c r="C271" t="s">
        <v>48</v>
      </c>
      <c r="D271">
        <v>1990</v>
      </c>
      <c r="E271">
        <v>6864</v>
      </c>
      <c r="F271">
        <v>276.11</v>
      </c>
      <c r="G271">
        <v>1.55</v>
      </c>
      <c r="H271">
        <v>7</v>
      </c>
      <c r="I271">
        <v>2</v>
      </c>
      <c r="J271">
        <v>5</v>
      </c>
      <c r="K271">
        <v>3</v>
      </c>
      <c r="L271" t="s">
        <v>60</v>
      </c>
      <c r="M271" t="s">
        <v>99</v>
      </c>
      <c r="N271" t="s">
        <v>51</v>
      </c>
      <c r="O271" t="s">
        <v>52</v>
      </c>
      <c r="P271" t="s">
        <v>42</v>
      </c>
      <c r="Q271" t="s">
        <v>18</v>
      </c>
    </row>
    <row r="272" spans="1:17" x14ac:dyDescent="0.3">
      <c r="A272" t="s">
        <v>534</v>
      </c>
      <c r="B272" t="s">
        <v>764</v>
      </c>
      <c r="C272" t="s">
        <v>48</v>
      </c>
      <c r="D272">
        <v>1980</v>
      </c>
      <c r="E272">
        <v>1929</v>
      </c>
      <c r="F272">
        <v>337.78</v>
      </c>
      <c r="G272">
        <v>22.48</v>
      </c>
      <c r="H272">
        <v>7</v>
      </c>
      <c r="I272">
        <v>3</v>
      </c>
      <c r="J272">
        <v>8</v>
      </c>
      <c r="K272">
        <v>6</v>
      </c>
      <c r="L272" t="s">
        <v>51</v>
      </c>
      <c r="M272" t="s">
        <v>14</v>
      </c>
      <c r="N272" t="s">
        <v>61</v>
      </c>
      <c r="O272" t="s">
        <v>52</v>
      </c>
      <c r="P272" t="s">
        <v>17</v>
      </c>
      <c r="Q272" t="s">
        <v>18</v>
      </c>
    </row>
    <row r="273" spans="1:17" x14ac:dyDescent="0.3">
      <c r="A273" t="s">
        <v>536</v>
      </c>
      <c r="B273" t="s">
        <v>624</v>
      </c>
      <c r="C273" t="s">
        <v>3</v>
      </c>
      <c r="D273">
        <v>2014</v>
      </c>
      <c r="E273">
        <v>4683</v>
      </c>
      <c r="F273">
        <v>22.11</v>
      </c>
      <c r="G273">
        <v>4.6100000000000003</v>
      </c>
      <c r="H273">
        <v>8</v>
      </c>
      <c r="I273">
        <v>4</v>
      </c>
      <c r="J273">
        <v>7</v>
      </c>
      <c r="K273">
        <v>6</v>
      </c>
      <c r="L273" t="s">
        <v>39</v>
      </c>
      <c r="M273" t="s">
        <v>5</v>
      </c>
      <c r="N273" t="s">
        <v>6</v>
      </c>
      <c r="O273" t="s">
        <v>78</v>
      </c>
      <c r="P273" t="s">
        <v>29</v>
      </c>
      <c r="Q273" t="s">
        <v>18</v>
      </c>
    </row>
    <row r="274" spans="1:17" x14ac:dyDescent="0.3">
      <c r="A274" t="s">
        <v>537</v>
      </c>
      <c r="B274" t="s">
        <v>760</v>
      </c>
      <c r="C274" t="s">
        <v>24</v>
      </c>
      <c r="D274">
        <v>2014</v>
      </c>
      <c r="E274">
        <v>8786</v>
      </c>
      <c r="F274">
        <v>13.59</v>
      </c>
      <c r="G274">
        <v>14.4</v>
      </c>
      <c r="H274">
        <v>4</v>
      </c>
      <c r="I274">
        <v>3</v>
      </c>
      <c r="J274">
        <v>8</v>
      </c>
      <c r="K274">
        <v>7</v>
      </c>
      <c r="L274" t="s">
        <v>141</v>
      </c>
      <c r="M274" t="s">
        <v>131</v>
      </c>
      <c r="N274" t="s">
        <v>93</v>
      </c>
      <c r="O274" t="s">
        <v>200</v>
      </c>
      <c r="P274" t="s">
        <v>17</v>
      </c>
      <c r="Q274" t="s">
        <v>36</v>
      </c>
    </row>
    <row r="275" spans="1:17" x14ac:dyDescent="0.3">
      <c r="A275" t="s">
        <v>538</v>
      </c>
      <c r="B275" t="s">
        <v>670</v>
      </c>
      <c r="C275" t="s">
        <v>12</v>
      </c>
      <c r="D275">
        <v>2009</v>
      </c>
      <c r="E275">
        <v>5484</v>
      </c>
      <c r="F275">
        <v>28.56</v>
      </c>
      <c r="G275">
        <v>6.64</v>
      </c>
      <c r="H275">
        <v>4</v>
      </c>
      <c r="I275">
        <v>2</v>
      </c>
      <c r="J275">
        <v>4</v>
      </c>
      <c r="K275">
        <v>4</v>
      </c>
      <c r="L275" t="s">
        <v>55</v>
      </c>
      <c r="M275" t="s">
        <v>152</v>
      </c>
      <c r="N275" t="s">
        <v>56</v>
      </c>
      <c r="O275" t="s">
        <v>57</v>
      </c>
      <c r="P275" t="s">
        <v>17</v>
      </c>
      <c r="Q275" t="s">
        <v>36</v>
      </c>
    </row>
    <row r="276" spans="1:17" x14ac:dyDescent="0.3">
      <c r="A276" t="s">
        <v>539</v>
      </c>
      <c r="B276" t="s">
        <v>659</v>
      </c>
      <c r="C276" t="s">
        <v>3</v>
      </c>
      <c r="D276">
        <v>1981</v>
      </c>
      <c r="E276">
        <v>6431</v>
      </c>
      <c r="F276">
        <v>339.92</v>
      </c>
      <c r="G276">
        <v>22.84</v>
      </c>
      <c r="H276">
        <v>8</v>
      </c>
      <c r="I276">
        <v>2</v>
      </c>
      <c r="J276">
        <v>8</v>
      </c>
      <c r="K276">
        <v>7</v>
      </c>
      <c r="L276" t="s">
        <v>45</v>
      </c>
      <c r="M276" t="s">
        <v>77</v>
      </c>
      <c r="N276" t="s">
        <v>6</v>
      </c>
      <c r="O276" t="s">
        <v>7</v>
      </c>
      <c r="P276" t="s">
        <v>42</v>
      </c>
      <c r="Q276" t="s">
        <v>18</v>
      </c>
    </row>
    <row r="277" spans="1:17" x14ac:dyDescent="0.3">
      <c r="A277" t="s">
        <v>540</v>
      </c>
      <c r="B277" t="s">
        <v>717</v>
      </c>
      <c r="C277" t="s">
        <v>3</v>
      </c>
      <c r="D277">
        <v>2018</v>
      </c>
      <c r="E277">
        <v>1467</v>
      </c>
      <c r="F277">
        <v>147.94</v>
      </c>
      <c r="G277">
        <v>17.399999999999999</v>
      </c>
      <c r="H277">
        <v>7</v>
      </c>
      <c r="I277">
        <v>5</v>
      </c>
      <c r="J277">
        <v>6</v>
      </c>
      <c r="K277">
        <v>7</v>
      </c>
      <c r="L277" t="s">
        <v>4</v>
      </c>
      <c r="M277" t="s">
        <v>5</v>
      </c>
      <c r="N277" t="s">
        <v>116</v>
      </c>
      <c r="O277" t="s">
        <v>41</v>
      </c>
      <c r="P277" t="s">
        <v>29</v>
      </c>
      <c r="Q277" t="s">
        <v>36</v>
      </c>
    </row>
    <row r="278" spans="1:17" x14ac:dyDescent="0.3">
      <c r="A278" t="s">
        <v>541</v>
      </c>
      <c r="B278" t="s">
        <v>717</v>
      </c>
      <c r="C278" t="s">
        <v>24</v>
      </c>
      <c r="D278">
        <v>1999</v>
      </c>
      <c r="E278">
        <v>6163</v>
      </c>
      <c r="F278">
        <v>479.12</v>
      </c>
      <c r="G278">
        <v>4.1399999999999997</v>
      </c>
      <c r="H278">
        <v>4</v>
      </c>
      <c r="I278">
        <v>6</v>
      </c>
      <c r="J278">
        <v>7</v>
      </c>
      <c r="K278">
        <v>3</v>
      </c>
      <c r="L278" t="s">
        <v>60</v>
      </c>
      <c r="M278" t="s">
        <v>195</v>
      </c>
      <c r="N278" t="s">
        <v>93</v>
      </c>
      <c r="O278" t="s">
        <v>68</v>
      </c>
      <c r="P278" t="s">
        <v>8</v>
      </c>
      <c r="Q278" t="s">
        <v>36</v>
      </c>
    </row>
    <row r="279" spans="1:17" x14ac:dyDescent="0.3">
      <c r="A279" t="s">
        <v>542</v>
      </c>
      <c r="B279" t="s">
        <v>705</v>
      </c>
      <c r="C279" t="s">
        <v>81</v>
      </c>
      <c r="D279">
        <v>2012</v>
      </c>
      <c r="E279">
        <v>2383</v>
      </c>
      <c r="F279">
        <v>88.87</v>
      </c>
      <c r="G279">
        <v>3.72</v>
      </c>
      <c r="H279">
        <v>5</v>
      </c>
      <c r="I279">
        <v>6</v>
      </c>
      <c r="J279">
        <v>5</v>
      </c>
      <c r="K279">
        <v>3</v>
      </c>
      <c r="L279" t="s">
        <v>87</v>
      </c>
      <c r="M279" t="s">
        <v>104</v>
      </c>
      <c r="N279" t="s">
        <v>82</v>
      </c>
      <c r="O279" t="s">
        <v>90</v>
      </c>
      <c r="P279" t="s">
        <v>8</v>
      </c>
      <c r="Q279" t="s">
        <v>36</v>
      </c>
    </row>
    <row r="280" spans="1:17" x14ac:dyDescent="0.3">
      <c r="A280" t="s">
        <v>543</v>
      </c>
      <c r="B280" t="s">
        <v>642</v>
      </c>
      <c r="C280" t="s">
        <v>12</v>
      </c>
      <c r="D280">
        <v>1992</v>
      </c>
      <c r="E280">
        <v>9562</v>
      </c>
      <c r="F280">
        <v>248.72</v>
      </c>
      <c r="G280">
        <v>4.53</v>
      </c>
      <c r="H280">
        <v>6</v>
      </c>
      <c r="I280">
        <v>4</v>
      </c>
      <c r="J280">
        <v>4</v>
      </c>
      <c r="K280">
        <v>7</v>
      </c>
      <c r="L280" t="s">
        <v>95</v>
      </c>
      <c r="M280" t="s">
        <v>152</v>
      </c>
      <c r="N280" t="s">
        <v>34</v>
      </c>
      <c r="O280" t="s">
        <v>35</v>
      </c>
      <c r="P280" t="s">
        <v>29</v>
      </c>
      <c r="Q280" t="s">
        <v>9</v>
      </c>
    </row>
    <row r="281" spans="1:17" x14ac:dyDescent="0.3">
      <c r="A281" t="s">
        <v>544</v>
      </c>
      <c r="B281" t="s">
        <v>765</v>
      </c>
      <c r="C281" t="s">
        <v>48</v>
      </c>
      <c r="D281">
        <v>1999</v>
      </c>
      <c r="E281">
        <v>9621</v>
      </c>
      <c r="F281">
        <v>84.67</v>
      </c>
      <c r="G281">
        <v>16.37</v>
      </c>
      <c r="H281">
        <v>8</v>
      </c>
      <c r="I281">
        <v>4</v>
      </c>
      <c r="J281">
        <v>5</v>
      </c>
      <c r="K281">
        <v>5</v>
      </c>
      <c r="L281" t="s">
        <v>60</v>
      </c>
      <c r="M281" t="s">
        <v>50</v>
      </c>
      <c r="N281" t="s">
        <v>51</v>
      </c>
      <c r="O281" t="s">
        <v>100</v>
      </c>
      <c r="P281" t="s">
        <v>29</v>
      </c>
      <c r="Q281" t="s">
        <v>18</v>
      </c>
    </row>
    <row r="282" spans="1:17" x14ac:dyDescent="0.3">
      <c r="A282" t="s">
        <v>546</v>
      </c>
      <c r="B282" t="s">
        <v>766</v>
      </c>
      <c r="C282" t="s">
        <v>3</v>
      </c>
      <c r="D282">
        <v>1988</v>
      </c>
      <c r="E282">
        <v>5482</v>
      </c>
      <c r="F282">
        <v>440.16</v>
      </c>
      <c r="G282">
        <v>20.76</v>
      </c>
      <c r="H282">
        <v>7</v>
      </c>
      <c r="I282">
        <v>5</v>
      </c>
      <c r="J282">
        <v>5</v>
      </c>
      <c r="K282">
        <v>4</v>
      </c>
      <c r="L282" t="s">
        <v>39</v>
      </c>
      <c r="M282" t="s">
        <v>77</v>
      </c>
      <c r="N282" t="s">
        <v>116</v>
      </c>
      <c r="O282" t="s">
        <v>7</v>
      </c>
      <c r="P282" t="s">
        <v>42</v>
      </c>
      <c r="Q282" t="s">
        <v>36</v>
      </c>
    </row>
    <row r="283" spans="1:17" x14ac:dyDescent="0.3">
      <c r="A283" t="s">
        <v>548</v>
      </c>
      <c r="B283" t="s">
        <v>620</v>
      </c>
      <c r="C283" t="s">
        <v>24</v>
      </c>
      <c r="D283">
        <v>1996</v>
      </c>
      <c r="E283">
        <v>1302</v>
      </c>
      <c r="F283">
        <v>366.44</v>
      </c>
      <c r="G283">
        <v>11.3</v>
      </c>
      <c r="H283">
        <v>4</v>
      </c>
      <c r="I283">
        <v>6</v>
      </c>
      <c r="J283">
        <v>8</v>
      </c>
      <c r="K283">
        <v>2</v>
      </c>
      <c r="L283" t="s">
        <v>65</v>
      </c>
      <c r="M283" t="s">
        <v>131</v>
      </c>
      <c r="N283" t="s">
        <v>132</v>
      </c>
      <c r="O283" t="s">
        <v>16</v>
      </c>
      <c r="P283" t="s">
        <v>42</v>
      </c>
      <c r="Q283" t="s">
        <v>18</v>
      </c>
    </row>
    <row r="284" spans="1:17" x14ac:dyDescent="0.3">
      <c r="A284" t="s">
        <v>549</v>
      </c>
      <c r="B284" t="s">
        <v>725</v>
      </c>
      <c r="C284" t="s">
        <v>24</v>
      </c>
      <c r="D284">
        <v>2003</v>
      </c>
      <c r="E284">
        <v>6480</v>
      </c>
      <c r="F284">
        <v>119.42</v>
      </c>
      <c r="G284">
        <v>14.88</v>
      </c>
      <c r="H284">
        <v>8</v>
      </c>
      <c r="I284">
        <v>7</v>
      </c>
      <c r="J284">
        <v>5</v>
      </c>
      <c r="K284">
        <v>3</v>
      </c>
      <c r="L284" t="s">
        <v>25</v>
      </c>
      <c r="M284" t="s">
        <v>195</v>
      </c>
      <c r="N284" t="s">
        <v>27</v>
      </c>
      <c r="O284" t="s">
        <v>28</v>
      </c>
      <c r="P284" t="s">
        <v>8</v>
      </c>
      <c r="Q284" t="s">
        <v>36</v>
      </c>
    </row>
    <row r="285" spans="1:17" x14ac:dyDescent="0.3">
      <c r="A285" t="s">
        <v>550</v>
      </c>
      <c r="B285" t="s">
        <v>692</v>
      </c>
      <c r="C285" t="s">
        <v>24</v>
      </c>
      <c r="D285">
        <v>2008</v>
      </c>
      <c r="E285">
        <v>2658</v>
      </c>
      <c r="F285">
        <v>97.78</v>
      </c>
      <c r="G285">
        <v>1.95</v>
      </c>
      <c r="H285">
        <v>8</v>
      </c>
      <c r="I285">
        <v>7</v>
      </c>
      <c r="J285">
        <v>4</v>
      </c>
      <c r="K285">
        <v>7</v>
      </c>
      <c r="L285" t="s">
        <v>25</v>
      </c>
      <c r="M285" t="s">
        <v>26</v>
      </c>
      <c r="N285" t="s">
        <v>93</v>
      </c>
      <c r="O285" t="s">
        <v>200</v>
      </c>
      <c r="P285" t="s">
        <v>17</v>
      </c>
      <c r="Q285" t="s">
        <v>9</v>
      </c>
    </row>
    <row r="286" spans="1:17" x14ac:dyDescent="0.3">
      <c r="A286" t="s">
        <v>551</v>
      </c>
      <c r="B286" t="s">
        <v>645</v>
      </c>
      <c r="C286" t="s">
        <v>24</v>
      </c>
      <c r="D286">
        <v>1982</v>
      </c>
      <c r="E286">
        <v>3437</v>
      </c>
      <c r="F286">
        <v>263.76</v>
      </c>
      <c r="G286">
        <v>20.05</v>
      </c>
      <c r="H286">
        <v>6</v>
      </c>
      <c r="I286">
        <v>5</v>
      </c>
      <c r="J286">
        <v>6</v>
      </c>
      <c r="K286">
        <v>5</v>
      </c>
      <c r="L286" t="s">
        <v>60</v>
      </c>
      <c r="M286" t="s">
        <v>195</v>
      </c>
      <c r="N286" t="s">
        <v>67</v>
      </c>
      <c r="O286" t="s">
        <v>16</v>
      </c>
      <c r="P286" t="s">
        <v>42</v>
      </c>
      <c r="Q286" t="s">
        <v>36</v>
      </c>
    </row>
    <row r="287" spans="1:17" x14ac:dyDescent="0.3">
      <c r="A287" t="s">
        <v>589</v>
      </c>
      <c r="B287" t="s">
        <v>767</v>
      </c>
      <c r="C287" t="s">
        <v>48</v>
      </c>
      <c r="D287">
        <v>2016</v>
      </c>
      <c r="E287">
        <v>2898</v>
      </c>
      <c r="F287">
        <v>194.56</v>
      </c>
      <c r="G287">
        <v>5.59</v>
      </c>
      <c r="H287">
        <v>7</v>
      </c>
      <c r="I287">
        <v>4</v>
      </c>
      <c r="J287">
        <v>7</v>
      </c>
      <c r="K287">
        <v>7</v>
      </c>
      <c r="L287" t="s">
        <v>49</v>
      </c>
      <c r="M287" t="s">
        <v>99</v>
      </c>
      <c r="N287" t="s">
        <v>89</v>
      </c>
      <c r="O287" t="s">
        <v>100</v>
      </c>
      <c r="P287" t="s">
        <v>17</v>
      </c>
      <c r="Q287" t="s">
        <v>36</v>
      </c>
    </row>
    <row r="288" spans="1:17" x14ac:dyDescent="0.3">
      <c r="A288" t="s">
        <v>553</v>
      </c>
      <c r="B288" t="s">
        <v>725</v>
      </c>
      <c r="C288" t="s">
        <v>81</v>
      </c>
      <c r="D288">
        <v>2018</v>
      </c>
      <c r="E288">
        <v>158</v>
      </c>
      <c r="F288">
        <v>255.9</v>
      </c>
      <c r="G288">
        <v>-0.28000000000000003</v>
      </c>
      <c r="H288">
        <v>5</v>
      </c>
      <c r="I288">
        <v>5</v>
      </c>
      <c r="J288">
        <v>4</v>
      </c>
      <c r="K288">
        <v>3</v>
      </c>
      <c r="L288" t="s">
        <v>87</v>
      </c>
      <c r="M288" t="s">
        <v>139</v>
      </c>
      <c r="N288" t="s">
        <v>209</v>
      </c>
      <c r="O288" t="s">
        <v>111</v>
      </c>
      <c r="P288" t="s">
        <v>29</v>
      </c>
      <c r="Q288" t="s">
        <v>36</v>
      </c>
    </row>
    <row r="289" spans="1:17" x14ac:dyDescent="0.3">
      <c r="A289" t="s">
        <v>554</v>
      </c>
      <c r="B289" t="s">
        <v>685</v>
      </c>
      <c r="C289" t="s">
        <v>81</v>
      </c>
      <c r="D289">
        <v>2001</v>
      </c>
      <c r="E289">
        <v>1906</v>
      </c>
      <c r="F289">
        <v>245.94</v>
      </c>
      <c r="G289">
        <v>-1.1599999999999999</v>
      </c>
      <c r="H289">
        <v>7</v>
      </c>
      <c r="I289">
        <v>5</v>
      </c>
      <c r="J289">
        <v>4</v>
      </c>
      <c r="K289">
        <v>6</v>
      </c>
      <c r="L289" t="s">
        <v>144</v>
      </c>
      <c r="M289" t="s">
        <v>88</v>
      </c>
      <c r="N289" t="s">
        <v>82</v>
      </c>
      <c r="O289" t="s">
        <v>111</v>
      </c>
      <c r="P289" t="s">
        <v>8</v>
      </c>
      <c r="Q289" t="s">
        <v>9</v>
      </c>
    </row>
    <row r="290" spans="1:17" x14ac:dyDescent="0.3">
      <c r="A290" t="s">
        <v>555</v>
      </c>
      <c r="B290" t="s">
        <v>623</v>
      </c>
      <c r="C290" t="s">
        <v>48</v>
      </c>
      <c r="D290">
        <v>1982</v>
      </c>
      <c r="E290">
        <v>9426</v>
      </c>
      <c r="F290">
        <v>81.96</v>
      </c>
      <c r="G290">
        <v>8.48</v>
      </c>
      <c r="H290">
        <v>5</v>
      </c>
      <c r="I290">
        <v>4</v>
      </c>
      <c r="J290">
        <v>4</v>
      </c>
      <c r="K290">
        <v>6</v>
      </c>
      <c r="L290" t="s">
        <v>121</v>
      </c>
      <c r="M290" t="s">
        <v>50</v>
      </c>
      <c r="N290" t="s">
        <v>51</v>
      </c>
      <c r="O290" t="s">
        <v>106</v>
      </c>
      <c r="P290" t="s">
        <v>29</v>
      </c>
      <c r="Q290" t="s">
        <v>9</v>
      </c>
    </row>
    <row r="291" spans="1:17" x14ac:dyDescent="0.3">
      <c r="A291" t="s">
        <v>556</v>
      </c>
      <c r="B291" t="s">
        <v>723</v>
      </c>
      <c r="C291" t="s">
        <v>24</v>
      </c>
      <c r="D291">
        <v>1994</v>
      </c>
      <c r="E291">
        <v>6780</v>
      </c>
      <c r="F291">
        <v>304.41000000000003</v>
      </c>
      <c r="G291">
        <v>12.9</v>
      </c>
      <c r="H291">
        <v>8</v>
      </c>
      <c r="I291">
        <v>3</v>
      </c>
      <c r="J291">
        <v>7</v>
      </c>
      <c r="K291">
        <v>7</v>
      </c>
      <c r="L291" t="s">
        <v>65</v>
      </c>
      <c r="M291" t="s">
        <v>26</v>
      </c>
      <c r="N291" t="s">
        <v>132</v>
      </c>
      <c r="O291" t="s">
        <v>28</v>
      </c>
      <c r="P291" t="s">
        <v>17</v>
      </c>
      <c r="Q291" t="s">
        <v>18</v>
      </c>
    </row>
    <row r="292" spans="1:17" x14ac:dyDescent="0.3">
      <c r="A292" t="s">
        <v>557</v>
      </c>
      <c r="B292" t="s">
        <v>685</v>
      </c>
      <c r="C292" t="s">
        <v>81</v>
      </c>
      <c r="D292">
        <v>2004</v>
      </c>
      <c r="E292">
        <v>2216</v>
      </c>
      <c r="F292">
        <v>63.2</v>
      </c>
      <c r="G292">
        <v>22.05</v>
      </c>
      <c r="H292">
        <v>5</v>
      </c>
      <c r="I292">
        <v>6</v>
      </c>
      <c r="J292">
        <v>7</v>
      </c>
      <c r="K292">
        <v>7</v>
      </c>
      <c r="L292" t="s">
        <v>190</v>
      </c>
      <c r="M292" t="s">
        <v>104</v>
      </c>
      <c r="N292" t="s">
        <v>82</v>
      </c>
      <c r="O292" t="s">
        <v>111</v>
      </c>
      <c r="P292" t="s">
        <v>17</v>
      </c>
      <c r="Q292" t="s">
        <v>9</v>
      </c>
    </row>
    <row r="293" spans="1:17" x14ac:dyDescent="0.3">
      <c r="A293" t="s">
        <v>558</v>
      </c>
      <c r="B293" t="s">
        <v>768</v>
      </c>
      <c r="C293" t="s">
        <v>48</v>
      </c>
      <c r="D293">
        <v>1987</v>
      </c>
      <c r="E293">
        <v>1576</v>
      </c>
      <c r="F293">
        <v>246.3</v>
      </c>
      <c r="G293">
        <v>1.88</v>
      </c>
      <c r="H293">
        <v>5</v>
      </c>
      <c r="I293">
        <v>6</v>
      </c>
      <c r="J293">
        <v>7</v>
      </c>
      <c r="K293">
        <v>2</v>
      </c>
      <c r="L293" t="s">
        <v>121</v>
      </c>
      <c r="M293" t="s">
        <v>154</v>
      </c>
      <c r="N293" t="s">
        <v>51</v>
      </c>
      <c r="O293" t="s">
        <v>106</v>
      </c>
      <c r="P293" t="s">
        <v>17</v>
      </c>
      <c r="Q293" t="s">
        <v>18</v>
      </c>
    </row>
    <row r="294" spans="1:17" x14ac:dyDescent="0.3">
      <c r="A294" t="s">
        <v>560</v>
      </c>
      <c r="B294" t="s">
        <v>646</v>
      </c>
      <c r="C294" t="s">
        <v>3</v>
      </c>
      <c r="D294">
        <v>2017</v>
      </c>
      <c r="E294">
        <v>9489</v>
      </c>
      <c r="F294">
        <v>57.88</v>
      </c>
      <c r="G294">
        <v>-4.84</v>
      </c>
      <c r="H294">
        <v>5</v>
      </c>
      <c r="I294">
        <v>4</v>
      </c>
      <c r="J294">
        <v>6</v>
      </c>
      <c r="K294">
        <v>3</v>
      </c>
      <c r="L294" t="s">
        <v>4</v>
      </c>
      <c r="M294" t="s">
        <v>157</v>
      </c>
      <c r="N294" t="s">
        <v>40</v>
      </c>
      <c r="O294" t="s">
        <v>78</v>
      </c>
      <c r="P294" t="s">
        <v>29</v>
      </c>
      <c r="Q294" t="s">
        <v>18</v>
      </c>
    </row>
    <row r="295" spans="1:17" x14ac:dyDescent="0.3">
      <c r="A295" t="s">
        <v>561</v>
      </c>
      <c r="B295" t="s">
        <v>769</v>
      </c>
      <c r="C295" t="s">
        <v>48</v>
      </c>
      <c r="D295">
        <v>1987</v>
      </c>
      <c r="E295">
        <v>8565</v>
      </c>
      <c r="F295">
        <v>13.53</v>
      </c>
      <c r="G295">
        <v>14.55</v>
      </c>
      <c r="H295">
        <v>9</v>
      </c>
      <c r="I295">
        <v>3</v>
      </c>
      <c r="J295">
        <v>8</v>
      </c>
      <c r="K295">
        <v>4</v>
      </c>
      <c r="L295" t="s">
        <v>121</v>
      </c>
      <c r="M295" t="s">
        <v>99</v>
      </c>
      <c r="N295" t="s">
        <v>61</v>
      </c>
      <c r="O295" t="s">
        <v>100</v>
      </c>
      <c r="P295" t="s">
        <v>17</v>
      </c>
      <c r="Q295" t="s">
        <v>18</v>
      </c>
    </row>
    <row r="296" spans="1:17" x14ac:dyDescent="0.3">
      <c r="A296" t="s">
        <v>563</v>
      </c>
      <c r="B296" t="s">
        <v>717</v>
      </c>
      <c r="C296" t="s">
        <v>48</v>
      </c>
      <c r="D296">
        <v>2007</v>
      </c>
      <c r="E296">
        <v>9301</v>
      </c>
      <c r="F296">
        <v>189.17</v>
      </c>
      <c r="G296">
        <v>2.61</v>
      </c>
      <c r="H296">
        <v>6</v>
      </c>
      <c r="I296">
        <v>7</v>
      </c>
      <c r="J296">
        <v>6</v>
      </c>
      <c r="K296">
        <v>3</v>
      </c>
      <c r="L296" t="s">
        <v>121</v>
      </c>
      <c r="M296" t="s">
        <v>154</v>
      </c>
      <c r="N296" t="s">
        <v>218</v>
      </c>
      <c r="O296" t="s">
        <v>52</v>
      </c>
      <c r="P296" t="s">
        <v>17</v>
      </c>
      <c r="Q296" t="s">
        <v>36</v>
      </c>
    </row>
    <row r="297" spans="1:17" x14ac:dyDescent="0.3">
      <c r="A297" t="s">
        <v>564</v>
      </c>
      <c r="B297" t="s">
        <v>687</v>
      </c>
      <c r="C297" t="s">
        <v>3</v>
      </c>
      <c r="D297">
        <v>2005</v>
      </c>
      <c r="E297">
        <v>2312</v>
      </c>
      <c r="F297">
        <v>428.95</v>
      </c>
      <c r="G297">
        <v>18.579999999999998</v>
      </c>
      <c r="H297">
        <v>9</v>
      </c>
      <c r="I297">
        <v>2</v>
      </c>
      <c r="J297">
        <v>8</v>
      </c>
      <c r="K297">
        <v>3</v>
      </c>
      <c r="L297" t="s">
        <v>39</v>
      </c>
      <c r="M297" t="s">
        <v>115</v>
      </c>
      <c r="N297" t="s">
        <v>6</v>
      </c>
      <c r="O297" t="s">
        <v>41</v>
      </c>
      <c r="P297" t="s">
        <v>17</v>
      </c>
      <c r="Q297" t="s">
        <v>18</v>
      </c>
    </row>
    <row r="298" spans="1:17" x14ac:dyDescent="0.3">
      <c r="A298" t="s">
        <v>565</v>
      </c>
      <c r="B298" t="s">
        <v>770</v>
      </c>
      <c r="C298" t="s">
        <v>12</v>
      </c>
      <c r="D298">
        <v>1990</v>
      </c>
      <c r="E298">
        <v>6425</v>
      </c>
      <c r="F298">
        <v>482.64</v>
      </c>
      <c r="G298">
        <v>1.65</v>
      </c>
      <c r="H298">
        <v>4</v>
      </c>
      <c r="I298">
        <v>2</v>
      </c>
      <c r="J298">
        <v>4</v>
      </c>
      <c r="K298">
        <v>5</v>
      </c>
      <c r="L298" t="s">
        <v>55</v>
      </c>
      <c r="M298" t="s">
        <v>73</v>
      </c>
      <c r="N298" t="s">
        <v>15</v>
      </c>
      <c r="O298" t="s">
        <v>35</v>
      </c>
      <c r="P298" t="s">
        <v>42</v>
      </c>
      <c r="Q298" t="s">
        <v>36</v>
      </c>
    </row>
    <row r="299" spans="1:17" x14ac:dyDescent="0.3">
      <c r="A299" t="s">
        <v>590</v>
      </c>
      <c r="B299" t="s">
        <v>771</v>
      </c>
      <c r="C299" t="s">
        <v>12</v>
      </c>
      <c r="D299">
        <v>2004</v>
      </c>
      <c r="E299">
        <v>6614</v>
      </c>
      <c r="F299">
        <v>310.83999999999997</v>
      </c>
      <c r="G299">
        <v>1.05</v>
      </c>
      <c r="H299">
        <v>8</v>
      </c>
      <c r="I299">
        <v>4</v>
      </c>
      <c r="J299">
        <v>8</v>
      </c>
      <c r="K299">
        <v>6</v>
      </c>
      <c r="L299" t="s">
        <v>235</v>
      </c>
      <c r="M299" t="s">
        <v>33</v>
      </c>
      <c r="N299" t="s">
        <v>212</v>
      </c>
      <c r="O299" t="s">
        <v>74</v>
      </c>
      <c r="P299" t="s">
        <v>8</v>
      </c>
      <c r="Q299" t="s">
        <v>18</v>
      </c>
    </row>
    <row r="300" spans="1:17" x14ac:dyDescent="0.3">
      <c r="A300" t="s">
        <v>569</v>
      </c>
      <c r="B300" t="s">
        <v>688</v>
      </c>
      <c r="C300" t="s">
        <v>24</v>
      </c>
      <c r="D300">
        <v>1982</v>
      </c>
      <c r="E300">
        <v>9872</v>
      </c>
      <c r="F300">
        <v>260.17</v>
      </c>
      <c r="G300">
        <v>-2.39</v>
      </c>
      <c r="H300">
        <v>9</v>
      </c>
      <c r="I300">
        <v>3</v>
      </c>
      <c r="J300">
        <v>7</v>
      </c>
      <c r="K300">
        <v>3</v>
      </c>
      <c r="L300" t="s">
        <v>60</v>
      </c>
      <c r="M300" t="s">
        <v>26</v>
      </c>
      <c r="N300" t="s">
        <v>132</v>
      </c>
      <c r="O300" t="s">
        <v>16</v>
      </c>
      <c r="P300" t="s">
        <v>29</v>
      </c>
      <c r="Q300" t="s">
        <v>18</v>
      </c>
    </row>
    <row r="301" spans="1:17" x14ac:dyDescent="0.3">
      <c r="A301" t="s">
        <v>570</v>
      </c>
      <c r="B301" t="s">
        <v>772</v>
      </c>
      <c r="C301" t="s">
        <v>3</v>
      </c>
      <c r="D301">
        <v>20050</v>
      </c>
      <c r="E301">
        <v>6692</v>
      </c>
      <c r="F301">
        <v>297.18</v>
      </c>
      <c r="G301">
        <v>23.9</v>
      </c>
      <c r="H301">
        <v>8</v>
      </c>
      <c r="I301">
        <v>2</v>
      </c>
      <c r="J301">
        <v>8</v>
      </c>
      <c r="K301">
        <v>7</v>
      </c>
      <c r="L301" t="s">
        <v>4</v>
      </c>
      <c r="M301" t="s">
        <v>77</v>
      </c>
      <c r="N301" t="s">
        <v>173</v>
      </c>
      <c r="O301" t="s">
        <v>78</v>
      </c>
      <c r="P301" t="s">
        <v>42</v>
      </c>
      <c r="Q30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317"/>
  <sheetViews>
    <sheetView zoomScaleNormal="100" workbookViewId="0"/>
  </sheetViews>
  <sheetFormatPr defaultRowHeight="14.4" x14ac:dyDescent="0.3"/>
  <cols>
    <col min="1" max="1" width="3.6640625" style="9" customWidth="1"/>
    <col min="2" max="2" width="18.21875" customWidth="1"/>
    <col min="3" max="3" width="20.109375" bestFit="1" customWidth="1"/>
    <col min="4" max="4" width="26" bestFit="1" customWidth="1"/>
    <col min="5" max="5" width="22.77734375" customWidth="1"/>
    <col min="6" max="6" width="15" bestFit="1" customWidth="1"/>
    <col min="7" max="7" width="16.44140625" bestFit="1" customWidth="1"/>
    <col min="8" max="8" width="19.6640625" customWidth="1"/>
    <col min="9" max="9" width="21" customWidth="1"/>
    <col min="10" max="10" width="17.5546875" bestFit="1" customWidth="1"/>
    <col min="11" max="11" width="20.44140625" bestFit="1" customWidth="1"/>
    <col min="12" max="12" width="22.88671875" bestFit="1" customWidth="1"/>
    <col min="13" max="13" width="18.5546875" bestFit="1" customWidth="1"/>
    <col min="14" max="14" width="19.6640625" bestFit="1" customWidth="1"/>
    <col min="15" max="15" width="21.77734375" bestFit="1" customWidth="1"/>
    <col min="16" max="16" width="16.5546875" bestFit="1" customWidth="1"/>
    <col min="17" max="17" width="20.6640625" bestFit="1" customWidth="1"/>
    <col min="18" max="18" width="23.33203125" bestFit="1" customWidth="1"/>
    <col min="19" max="19" width="23.88671875" bestFit="1" customWidth="1"/>
    <col min="20" max="20" width="23.21875" bestFit="1" customWidth="1"/>
    <col min="21" max="21" width="19.88671875" bestFit="1" customWidth="1"/>
    <col min="22" max="22" width="15.88671875" bestFit="1" customWidth="1"/>
    <col min="23" max="16384" width="8.88671875" style="9"/>
  </cols>
  <sheetData>
    <row r="1" spans="2:22" ht="11.4" customHeight="1" x14ac:dyDescent="0.3"/>
    <row r="2" spans="2:22" ht="21" x14ac:dyDescent="0.4">
      <c r="B2" s="33" t="s">
        <v>796</v>
      </c>
      <c r="C2" s="34"/>
      <c r="D2" s="34"/>
    </row>
    <row r="3" spans="2:22" ht="15" customHeight="1" x14ac:dyDescent="0.4">
      <c r="B3" s="14"/>
      <c r="C3" s="16" t="s">
        <v>793</v>
      </c>
      <c r="D3" s="17" t="s">
        <v>794</v>
      </c>
    </row>
    <row r="4" spans="2:22" x14ac:dyDescent="0.3">
      <c r="B4" s="17" t="s">
        <v>790</v>
      </c>
      <c r="C4" s="15">
        <v>303</v>
      </c>
      <c r="D4" s="15">
        <v>300</v>
      </c>
    </row>
    <row r="5" spans="2:22" x14ac:dyDescent="0.3">
      <c r="B5" s="17" t="s">
        <v>791</v>
      </c>
      <c r="C5" s="15">
        <v>3</v>
      </c>
      <c r="D5" s="15">
        <v>0</v>
      </c>
    </row>
    <row r="6" spans="2:22" x14ac:dyDescent="0.3">
      <c r="B6" s="17" t="s">
        <v>792</v>
      </c>
      <c r="C6" s="15">
        <v>17</v>
      </c>
      <c r="D6" s="15">
        <v>17</v>
      </c>
    </row>
    <row r="7" spans="2:22" x14ac:dyDescent="0.3">
      <c r="B7" s="17" t="s">
        <v>795</v>
      </c>
      <c r="C7" s="15">
        <v>1</v>
      </c>
      <c r="D7" s="15">
        <v>0</v>
      </c>
    </row>
    <row r="11" spans="2:22" ht="21" x14ac:dyDescent="0.4">
      <c r="B11" s="37" t="s">
        <v>789</v>
      </c>
      <c r="C11" s="38"/>
    </row>
    <row r="13" spans="2:22" ht="63" customHeight="1" x14ac:dyDescent="0.3">
      <c r="B13" s="39" t="s">
        <v>788</v>
      </c>
      <c r="C13" s="39"/>
      <c r="D13" s="39" t="s">
        <v>787</v>
      </c>
      <c r="E13" s="39"/>
      <c r="F13" s="40" t="s">
        <v>785</v>
      </c>
      <c r="G13" s="40"/>
      <c r="H13" s="39" t="s">
        <v>786</v>
      </c>
      <c r="I13" s="39"/>
      <c r="J13" s="35" t="s">
        <v>815</v>
      </c>
      <c r="K13" s="36"/>
      <c r="L13" s="36"/>
      <c r="M13" s="36"/>
      <c r="N13" s="36"/>
      <c r="O13" s="36"/>
      <c r="P13" s="36"/>
      <c r="Q13" s="36"/>
      <c r="R13" s="36"/>
      <c r="S13" s="36"/>
      <c r="T13" s="36"/>
      <c r="U13" s="36"/>
      <c r="V13" s="36"/>
    </row>
    <row r="14" spans="2:22" x14ac:dyDescent="0.3">
      <c r="B14" s="18" t="s">
        <v>572</v>
      </c>
      <c r="C14" s="19" t="s">
        <v>573</v>
      </c>
      <c r="D14" s="19" t="s">
        <v>574</v>
      </c>
      <c r="E14" s="19" t="s">
        <v>575</v>
      </c>
      <c r="F14" s="19" t="s">
        <v>576</v>
      </c>
      <c r="G14" s="19" t="s">
        <v>577</v>
      </c>
      <c r="H14" s="19" t="s">
        <v>578</v>
      </c>
      <c r="I14" s="19" t="s">
        <v>579</v>
      </c>
      <c r="J14" s="19" t="s">
        <v>0</v>
      </c>
      <c r="K14" s="19" t="s">
        <v>773</v>
      </c>
      <c r="L14" s="19" t="s">
        <v>774</v>
      </c>
      <c r="M14" s="19" t="s">
        <v>775</v>
      </c>
      <c r="N14" s="19" t="s">
        <v>776</v>
      </c>
      <c r="O14" s="19" t="s">
        <v>777</v>
      </c>
      <c r="P14" s="19" t="s">
        <v>778</v>
      </c>
      <c r="Q14" s="19" t="s">
        <v>779</v>
      </c>
      <c r="R14" s="19" t="s">
        <v>780</v>
      </c>
      <c r="S14" s="19" t="s">
        <v>781</v>
      </c>
      <c r="T14" s="19" t="s">
        <v>782</v>
      </c>
      <c r="U14" s="19" t="s">
        <v>783</v>
      </c>
      <c r="V14" s="20" t="s">
        <v>784</v>
      </c>
    </row>
    <row r="15" spans="2:22" x14ac:dyDescent="0.3">
      <c r="B15" s="1" t="s">
        <v>1</v>
      </c>
      <c r="C15" s="3" t="s">
        <v>1</v>
      </c>
      <c r="D15" s="1" t="s">
        <v>2</v>
      </c>
      <c r="E15" s="3" t="s">
        <v>591</v>
      </c>
      <c r="F15" s="2" t="s">
        <v>3</v>
      </c>
      <c r="G15" s="2" t="s">
        <v>3</v>
      </c>
      <c r="H15" s="3">
        <v>1995</v>
      </c>
      <c r="I15" s="3">
        <v>1995</v>
      </c>
      <c r="J15" s="3">
        <v>3707</v>
      </c>
      <c r="K15" s="3">
        <v>78.37</v>
      </c>
      <c r="L15" s="3">
        <v>1.56</v>
      </c>
      <c r="M15" s="3">
        <v>4</v>
      </c>
      <c r="N15" s="3">
        <v>7</v>
      </c>
      <c r="O15" s="3">
        <v>8</v>
      </c>
      <c r="P15" s="3">
        <v>6</v>
      </c>
      <c r="Q15" s="2" t="s">
        <v>4</v>
      </c>
      <c r="R15" s="2" t="s">
        <v>5</v>
      </c>
      <c r="S15" s="2" t="s">
        <v>6</v>
      </c>
      <c r="T15" s="2" t="s">
        <v>7</v>
      </c>
      <c r="U15" s="2" t="s">
        <v>8</v>
      </c>
      <c r="V15" s="4" t="s">
        <v>9</v>
      </c>
    </row>
    <row r="16" spans="2:22" x14ac:dyDescent="0.3">
      <c r="B16" s="5" t="s">
        <v>10</v>
      </c>
      <c r="C16" s="7" t="s">
        <v>10</v>
      </c>
      <c r="D16" s="5" t="s">
        <v>11</v>
      </c>
      <c r="E16" s="7" t="s">
        <v>592</v>
      </c>
      <c r="F16" s="6" t="s">
        <v>12</v>
      </c>
      <c r="G16" s="6" t="s">
        <v>12</v>
      </c>
      <c r="H16" s="7">
        <v>2015</v>
      </c>
      <c r="I16" s="7">
        <v>2015</v>
      </c>
      <c r="J16" s="7">
        <v>3307</v>
      </c>
      <c r="K16" s="7">
        <v>360.85</v>
      </c>
      <c r="L16" s="7">
        <v>5.21</v>
      </c>
      <c r="M16" s="7">
        <v>9</v>
      </c>
      <c r="N16" s="7">
        <v>6</v>
      </c>
      <c r="O16" s="7">
        <v>6</v>
      </c>
      <c r="P16" s="7">
        <v>3</v>
      </c>
      <c r="Q16" s="6" t="s">
        <v>13</v>
      </c>
      <c r="R16" s="6" t="s">
        <v>14</v>
      </c>
      <c r="S16" s="6" t="s">
        <v>15</v>
      </c>
      <c r="T16" s="6" t="s">
        <v>16</v>
      </c>
      <c r="U16" s="6" t="s">
        <v>17</v>
      </c>
      <c r="V16" s="8" t="s">
        <v>18</v>
      </c>
    </row>
    <row r="17" spans="2:22" x14ac:dyDescent="0.3">
      <c r="B17" s="1" t="s">
        <v>19</v>
      </c>
      <c r="C17" s="3" t="s">
        <v>19</v>
      </c>
      <c r="D17" s="1" t="s">
        <v>20</v>
      </c>
      <c r="E17" s="3" t="s">
        <v>593</v>
      </c>
      <c r="F17" s="2" t="s">
        <v>3</v>
      </c>
      <c r="G17" s="2" t="s">
        <v>3</v>
      </c>
      <c r="H17" s="3">
        <v>1986</v>
      </c>
      <c r="I17" s="3">
        <v>1986</v>
      </c>
      <c r="J17" s="3">
        <v>1569</v>
      </c>
      <c r="K17" s="3">
        <v>196.16</v>
      </c>
      <c r="L17" s="3">
        <v>11.56</v>
      </c>
      <c r="M17" s="3">
        <v>6</v>
      </c>
      <c r="N17" s="3">
        <v>4</v>
      </c>
      <c r="O17" s="3">
        <v>7</v>
      </c>
      <c r="P17" s="3">
        <v>4</v>
      </c>
      <c r="Q17" s="2" t="s">
        <v>4</v>
      </c>
      <c r="R17" s="2" t="s">
        <v>5</v>
      </c>
      <c r="S17" s="2" t="s">
        <v>6</v>
      </c>
      <c r="T17" s="2" t="s">
        <v>21</v>
      </c>
      <c r="U17" s="2" t="s">
        <v>8</v>
      </c>
      <c r="V17" s="4" t="s">
        <v>18</v>
      </c>
    </row>
    <row r="18" spans="2:22" x14ac:dyDescent="0.3">
      <c r="B18" s="5" t="s">
        <v>22</v>
      </c>
      <c r="C18" s="7" t="s">
        <v>22</v>
      </c>
      <c r="D18" s="5" t="s">
        <v>23</v>
      </c>
      <c r="E18" s="7" t="s">
        <v>594</v>
      </c>
      <c r="F18" s="6" t="s">
        <v>24</v>
      </c>
      <c r="G18" s="6" t="s">
        <v>24</v>
      </c>
      <c r="H18" s="7">
        <v>1984</v>
      </c>
      <c r="I18" s="7">
        <v>1984</v>
      </c>
      <c r="J18" s="7">
        <v>800</v>
      </c>
      <c r="K18" s="7">
        <v>334.02</v>
      </c>
      <c r="L18" s="7">
        <v>6.11</v>
      </c>
      <c r="M18" s="7">
        <v>6</v>
      </c>
      <c r="N18" s="7">
        <v>2</v>
      </c>
      <c r="O18" s="7">
        <v>4</v>
      </c>
      <c r="P18" s="7">
        <v>2</v>
      </c>
      <c r="Q18" s="6" t="s">
        <v>25</v>
      </c>
      <c r="R18" s="6" t="s">
        <v>26</v>
      </c>
      <c r="S18" s="6" t="s">
        <v>27</v>
      </c>
      <c r="T18" s="6" t="s">
        <v>28</v>
      </c>
      <c r="U18" s="6" t="s">
        <v>29</v>
      </c>
      <c r="V18" s="8" t="s">
        <v>18</v>
      </c>
    </row>
    <row r="19" spans="2:22" x14ac:dyDescent="0.3">
      <c r="B19" s="1" t="s">
        <v>30</v>
      </c>
      <c r="C19" s="3" t="s">
        <v>30</v>
      </c>
      <c r="D19" s="1" t="s">
        <v>31</v>
      </c>
      <c r="E19" s="3" t="s">
        <v>595</v>
      </c>
      <c r="F19" s="2" t="s">
        <v>12</v>
      </c>
      <c r="G19" s="2" t="s">
        <v>12</v>
      </c>
      <c r="H19" s="3">
        <v>2018</v>
      </c>
      <c r="I19" s="3">
        <v>2018</v>
      </c>
      <c r="J19" s="3">
        <v>2853</v>
      </c>
      <c r="K19" s="3">
        <v>271.73</v>
      </c>
      <c r="L19" s="3">
        <v>19.649999999999999</v>
      </c>
      <c r="M19" s="3">
        <v>5</v>
      </c>
      <c r="N19" s="3">
        <v>3</v>
      </c>
      <c r="O19" s="3">
        <v>6</v>
      </c>
      <c r="P19" s="3">
        <v>5</v>
      </c>
      <c r="Q19" s="2" t="s">
        <v>32</v>
      </c>
      <c r="R19" s="2" t="s">
        <v>33</v>
      </c>
      <c r="S19" s="2" t="s">
        <v>34</v>
      </c>
      <c r="T19" s="2" t="s">
        <v>35</v>
      </c>
      <c r="U19" s="2" t="s">
        <v>29</v>
      </c>
      <c r="V19" s="4" t="s">
        <v>36</v>
      </c>
    </row>
    <row r="20" spans="2:22" x14ac:dyDescent="0.3">
      <c r="B20" s="5" t="s">
        <v>37</v>
      </c>
      <c r="C20" s="7" t="s">
        <v>37</v>
      </c>
      <c r="D20" s="5" t="s">
        <v>38</v>
      </c>
      <c r="E20" s="7" t="s">
        <v>596</v>
      </c>
      <c r="F20" s="6" t="s">
        <v>3</v>
      </c>
      <c r="G20" s="6" t="s">
        <v>3</v>
      </c>
      <c r="H20" s="7">
        <v>1984</v>
      </c>
      <c r="I20" s="7">
        <v>1984</v>
      </c>
      <c r="J20" s="7">
        <v>3506</v>
      </c>
      <c r="K20" s="7">
        <v>457.44</v>
      </c>
      <c r="L20" s="7">
        <v>-0.81</v>
      </c>
      <c r="M20" s="7">
        <v>8</v>
      </c>
      <c r="N20" s="7">
        <v>7</v>
      </c>
      <c r="O20" s="7">
        <v>5</v>
      </c>
      <c r="P20" s="7">
        <v>3</v>
      </c>
      <c r="Q20" s="6" t="s">
        <v>39</v>
      </c>
      <c r="R20" s="6" t="s">
        <v>5</v>
      </c>
      <c r="S20" s="6" t="s">
        <v>40</v>
      </c>
      <c r="T20" s="6" t="s">
        <v>41</v>
      </c>
      <c r="U20" s="6" t="s">
        <v>42</v>
      </c>
      <c r="V20" s="8" t="s">
        <v>36</v>
      </c>
    </row>
    <row r="21" spans="2:22" x14ac:dyDescent="0.3">
      <c r="B21" s="1" t="s">
        <v>43</v>
      </c>
      <c r="C21" s="3" t="s">
        <v>43</v>
      </c>
      <c r="D21" s="1" t="s">
        <v>44</v>
      </c>
      <c r="E21" s="3" t="s">
        <v>597</v>
      </c>
      <c r="F21" s="2" t="s">
        <v>3</v>
      </c>
      <c r="G21" s="2" t="s">
        <v>3</v>
      </c>
      <c r="H21" s="3">
        <v>2017</v>
      </c>
      <c r="I21" s="3">
        <v>2017</v>
      </c>
      <c r="J21" s="3">
        <v>7069</v>
      </c>
      <c r="K21" s="3">
        <v>449.93</v>
      </c>
      <c r="L21" s="3">
        <v>-0.41</v>
      </c>
      <c r="M21" s="3">
        <v>7</v>
      </c>
      <c r="N21" s="3">
        <v>4</v>
      </c>
      <c r="O21" s="3">
        <v>4</v>
      </c>
      <c r="P21" s="3">
        <v>3</v>
      </c>
      <c r="Q21" s="2" t="s">
        <v>45</v>
      </c>
      <c r="R21" s="2" t="s">
        <v>5</v>
      </c>
      <c r="S21" s="2" t="s">
        <v>6</v>
      </c>
      <c r="T21" s="2" t="s">
        <v>7</v>
      </c>
      <c r="U21" s="2" t="s">
        <v>8</v>
      </c>
      <c r="V21" s="4" t="s">
        <v>18</v>
      </c>
    </row>
    <row r="22" spans="2:22" x14ac:dyDescent="0.3">
      <c r="B22" s="5" t="s">
        <v>46</v>
      </c>
      <c r="C22" s="7" t="s">
        <v>580</v>
      </c>
      <c r="D22" s="5" t="s">
        <v>47</v>
      </c>
      <c r="E22" s="7" t="s">
        <v>598</v>
      </c>
      <c r="F22" s="6" t="s">
        <v>48</v>
      </c>
      <c r="G22" s="6" t="s">
        <v>48</v>
      </c>
      <c r="H22" s="7">
        <v>1984</v>
      </c>
      <c r="I22" s="7">
        <v>1984</v>
      </c>
      <c r="J22" s="7">
        <v>6354</v>
      </c>
      <c r="K22" s="7">
        <v>196.99</v>
      </c>
      <c r="L22" s="7">
        <v>3.81</v>
      </c>
      <c r="M22" s="7">
        <v>7</v>
      </c>
      <c r="N22" s="7">
        <v>6</v>
      </c>
      <c r="O22" s="7">
        <v>5</v>
      </c>
      <c r="P22" s="7">
        <v>6</v>
      </c>
      <c r="Q22" s="6" t="s">
        <v>49</v>
      </c>
      <c r="R22" s="6" t="s">
        <v>50</v>
      </c>
      <c r="S22" s="6" t="s">
        <v>51</v>
      </c>
      <c r="T22" s="6" t="s">
        <v>52</v>
      </c>
      <c r="U22" s="6" t="s">
        <v>8</v>
      </c>
      <c r="V22" s="8" t="s">
        <v>9</v>
      </c>
    </row>
    <row r="23" spans="2:22" x14ac:dyDescent="0.3">
      <c r="B23" s="1" t="s">
        <v>53</v>
      </c>
      <c r="C23" s="3" t="s">
        <v>53</v>
      </c>
      <c r="D23" s="1" t="s">
        <v>54</v>
      </c>
      <c r="E23" s="3" t="s">
        <v>599</v>
      </c>
      <c r="F23" s="2" t="s">
        <v>12</v>
      </c>
      <c r="G23" s="2" t="s">
        <v>12</v>
      </c>
      <c r="H23" s="3">
        <v>1996</v>
      </c>
      <c r="I23" s="3">
        <v>1996</v>
      </c>
      <c r="J23" s="3">
        <v>8251</v>
      </c>
      <c r="K23" s="3">
        <v>383.36</v>
      </c>
      <c r="L23" s="3">
        <v>11.18</v>
      </c>
      <c r="M23" s="3">
        <v>8</v>
      </c>
      <c r="N23" s="3">
        <v>2</v>
      </c>
      <c r="O23" s="3">
        <v>8</v>
      </c>
      <c r="P23" s="3">
        <v>4</v>
      </c>
      <c r="Q23" s="2" t="s">
        <v>55</v>
      </c>
      <c r="R23" s="2" t="s">
        <v>33</v>
      </c>
      <c r="S23" s="2" t="s">
        <v>56</v>
      </c>
      <c r="T23" s="2" t="s">
        <v>57</v>
      </c>
      <c r="U23" s="2" t="s">
        <v>29</v>
      </c>
      <c r="V23" s="4" t="s">
        <v>18</v>
      </c>
    </row>
    <row r="24" spans="2:22" x14ac:dyDescent="0.3">
      <c r="B24" s="5" t="s">
        <v>58</v>
      </c>
      <c r="C24" s="7" t="s">
        <v>58</v>
      </c>
      <c r="D24" s="5" t="s">
        <v>59</v>
      </c>
      <c r="E24" s="7" t="s">
        <v>600</v>
      </c>
      <c r="F24" s="6" t="s">
        <v>48</v>
      </c>
      <c r="G24" s="6" t="s">
        <v>48</v>
      </c>
      <c r="H24" s="7">
        <v>2000</v>
      </c>
      <c r="I24" s="7">
        <v>2000</v>
      </c>
      <c r="J24" s="7">
        <v>8055</v>
      </c>
      <c r="K24" s="7">
        <v>19.54</v>
      </c>
      <c r="L24" s="7">
        <v>24.34</v>
      </c>
      <c r="M24" s="7">
        <v>6</v>
      </c>
      <c r="N24" s="7">
        <v>4</v>
      </c>
      <c r="O24" s="7">
        <v>4</v>
      </c>
      <c r="P24" s="7">
        <v>2</v>
      </c>
      <c r="Q24" s="6" t="s">
        <v>60</v>
      </c>
      <c r="R24" s="6" t="s">
        <v>50</v>
      </c>
      <c r="S24" s="6" t="s">
        <v>61</v>
      </c>
      <c r="T24" s="6" t="s">
        <v>62</v>
      </c>
      <c r="U24" s="6" t="s">
        <v>8</v>
      </c>
      <c r="V24" s="8" t="s">
        <v>18</v>
      </c>
    </row>
    <row r="25" spans="2:22" x14ac:dyDescent="0.3">
      <c r="B25" s="1" t="s">
        <v>63</v>
      </c>
      <c r="C25" s="3" t="s">
        <v>63</v>
      </c>
      <c r="D25" s="1" t="s">
        <v>64</v>
      </c>
      <c r="E25" s="3" t="s">
        <v>601</v>
      </c>
      <c r="F25" s="2" t="s">
        <v>24</v>
      </c>
      <c r="G25" s="2" t="s">
        <v>24</v>
      </c>
      <c r="H25" s="3">
        <v>2010</v>
      </c>
      <c r="I25" s="3">
        <v>2010</v>
      </c>
      <c r="J25" s="3">
        <v>9057</v>
      </c>
      <c r="K25" s="3">
        <v>90.91</v>
      </c>
      <c r="L25" s="3">
        <v>8.14</v>
      </c>
      <c r="M25" s="3">
        <v>8</v>
      </c>
      <c r="N25" s="3">
        <v>6</v>
      </c>
      <c r="O25" s="3">
        <v>6</v>
      </c>
      <c r="P25" s="3">
        <v>3</v>
      </c>
      <c r="Q25" s="2" t="s">
        <v>65</v>
      </c>
      <c r="R25" s="2" t="s">
        <v>66</v>
      </c>
      <c r="S25" s="2" t="s">
        <v>67</v>
      </c>
      <c r="T25" s="2" t="s">
        <v>68</v>
      </c>
      <c r="U25" s="2" t="s">
        <v>42</v>
      </c>
      <c r="V25" s="4" t="s">
        <v>18</v>
      </c>
    </row>
    <row r="26" spans="2:22" x14ac:dyDescent="0.3">
      <c r="B26" s="5" t="s">
        <v>69</v>
      </c>
      <c r="C26" s="7" t="s">
        <v>69</v>
      </c>
      <c r="D26" s="5" t="s">
        <v>70</v>
      </c>
      <c r="E26" s="7" t="s">
        <v>602</v>
      </c>
      <c r="F26" s="6" t="s">
        <v>12</v>
      </c>
      <c r="G26" s="6" t="s">
        <v>12</v>
      </c>
      <c r="H26" s="7">
        <v>1995</v>
      </c>
      <c r="I26" s="7">
        <v>1995</v>
      </c>
      <c r="J26" s="7">
        <v>3731</v>
      </c>
      <c r="K26" s="7">
        <v>41.37</v>
      </c>
      <c r="L26" s="7">
        <v>1.87</v>
      </c>
      <c r="M26" s="7">
        <v>4</v>
      </c>
      <c r="N26" s="7">
        <v>6</v>
      </c>
      <c r="O26" s="7">
        <v>7</v>
      </c>
      <c r="P26" s="7">
        <v>3</v>
      </c>
      <c r="Q26" s="6" t="s">
        <v>55</v>
      </c>
      <c r="R26" s="6" t="s">
        <v>33</v>
      </c>
      <c r="S26" s="6" t="s">
        <v>15</v>
      </c>
      <c r="T26" s="6" t="s">
        <v>35</v>
      </c>
      <c r="U26" s="6" t="s">
        <v>8</v>
      </c>
      <c r="V26" s="8" t="s">
        <v>36</v>
      </c>
    </row>
    <row r="27" spans="2:22" x14ac:dyDescent="0.3">
      <c r="B27" s="1" t="s">
        <v>71</v>
      </c>
      <c r="C27" s="3" t="s">
        <v>71</v>
      </c>
      <c r="D27" s="1" t="s">
        <v>72</v>
      </c>
      <c r="E27" s="3" t="s">
        <v>603</v>
      </c>
      <c r="F27" s="2" t="s">
        <v>12</v>
      </c>
      <c r="G27" s="2" t="s">
        <v>12</v>
      </c>
      <c r="H27" s="3">
        <v>2012</v>
      </c>
      <c r="I27" s="3">
        <v>2012</v>
      </c>
      <c r="J27" s="3">
        <v>3949</v>
      </c>
      <c r="K27" s="3">
        <v>146.44999999999999</v>
      </c>
      <c r="L27" s="3">
        <v>0.71</v>
      </c>
      <c r="M27" s="3">
        <v>7</v>
      </c>
      <c r="N27" s="3">
        <v>3</v>
      </c>
      <c r="O27" s="3">
        <v>7</v>
      </c>
      <c r="P27" s="3">
        <v>3</v>
      </c>
      <c r="Q27" s="2" t="s">
        <v>55</v>
      </c>
      <c r="R27" s="2" t="s">
        <v>73</v>
      </c>
      <c r="S27" s="2" t="s">
        <v>56</v>
      </c>
      <c r="T27" s="2" t="s">
        <v>74</v>
      </c>
      <c r="U27" s="2" t="s">
        <v>17</v>
      </c>
      <c r="V27" s="4" t="s">
        <v>18</v>
      </c>
    </row>
    <row r="28" spans="2:22" x14ac:dyDescent="0.3">
      <c r="B28" s="5" t="s">
        <v>75</v>
      </c>
      <c r="C28" s="7" t="s">
        <v>75</v>
      </c>
      <c r="D28" s="5" t="s">
        <v>76</v>
      </c>
      <c r="E28" s="7" t="s">
        <v>604</v>
      </c>
      <c r="F28" s="6" t="s">
        <v>3</v>
      </c>
      <c r="G28" s="6" t="s">
        <v>3</v>
      </c>
      <c r="H28" s="7">
        <v>2007</v>
      </c>
      <c r="I28" s="7">
        <v>2007</v>
      </c>
      <c r="J28" s="7">
        <v>6785</v>
      </c>
      <c r="K28" s="7">
        <v>238.84</v>
      </c>
      <c r="L28" s="7">
        <v>2.46</v>
      </c>
      <c r="M28" s="7">
        <v>9</v>
      </c>
      <c r="N28" s="7">
        <v>2</v>
      </c>
      <c r="O28" s="7">
        <v>8</v>
      </c>
      <c r="P28" s="7">
        <v>7</v>
      </c>
      <c r="Q28" s="6" t="s">
        <v>4</v>
      </c>
      <c r="R28" s="6" t="s">
        <v>77</v>
      </c>
      <c r="S28" s="6" t="s">
        <v>40</v>
      </c>
      <c r="T28" s="6" t="s">
        <v>78</v>
      </c>
      <c r="U28" s="6" t="s">
        <v>8</v>
      </c>
      <c r="V28" s="8" t="s">
        <v>18</v>
      </c>
    </row>
    <row r="29" spans="2:22" x14ac:dyDescent="0.3">
      <c r="B29" s="1" t="s">
        <v>79</v>
      </c>
      <c r="C29" s="3" t="s">
        <v>79</v>
      </c>
      <c r="D29" s="1" t="s">
        <v>80</v>
      </c>
      <c r="E29" s="3" t="s">
        <v>605</v>
      </c>
      <c r="F29" s="2" t="s">
        <v>81</v>
      </c>
      <c r="G29" s="2" t="s">
        <v>81</v>
      </c>
      <c r="H29" s="3">
        <v>1988</v>
      </c>
      <c r="I29" s="3">
        <v>1988</v>
      </c>
      <c r="J29" s="3">
        <v>6962</v>
      </c>
      <c r="K29" s="3">
        <v>99.91</v>
      </c>
      <c r="L29" s="3">
        <v>22.79</v>
      </c>
      <c r="M29" s="3">
        <v>7</v>
      </c>
      <c r="N29" s="3">
        <v>3</v>
      </c>
      <c r="O29" s="3">
        <v>3</v>
      </c>
      <c r="P29" s="3">
        <v>5</v>
      </c>
      <c r="Q29" s="2" t="s">
        <v>82</v>
      </c>
      <c r="R29" s="2" t="s">
        <v>83</v>
      </c>
      <c r="S29" s="2" t="s">
        <v>82</v>
      </c>
      <c r="T29" s="2" t="s">
        <v>84</v>
      </c>
      <c r="U29" s="2" t="s">
        <v>8</v>
      </c>
      <c r="V29" s="4" t="s">
        <v>36</v>
      </c>
    </row>
    <row r="30" spans="2:22" x14ac:dyDescent="0.3">
      <c r="B30" s="5" t="s">
        <v>85</v>
      </c>
      <c r="C30" s="7" t="s">
        <v>85</v>
      </c>
      <c r="D30" s="5" t="s">
        <v>86</v>
      </c>
      <c r="E30" s="7" t="s">
        <v>606</v>
      </c>
      <c r="F30" s="6" t="s">
        <v>81</v>
      </c>
      <c r="G30" s="6" t="s">
        <v>81</v>
      </c>
      <c r="H30" s="7">
        <v>2011</v>
      </c>
      <c r="I30" s="7">
        <v>2011</v>
      </c>
      <c r="J30" s="7">
        <v>7936</v>
      </c>
      <c r="K30" s="7">
        <v>114.74</v>
      </c>
      <c r="L30" s="7">
        <v>7.69</v>
      </c>
      <c r="M30" s="7">
        <v>7</v>
      </c>
      <c r="N30" s="7">
        <v>2</v>
      </c>
      <c r="O30" s="7">
        <v>4</v>
      </c>
      <c r="P30" s="7">
        <v>5</v>
      </c>
      <c r="Q30" s="6" t="s">
        <v>87</v>
      </c>
      <c r="R30" s="6" t="s">
        <v>88</v>
      </c>
      <c r="S30" s="6" t="s">
        <v>89</v>
      </c>
      <c r="T30" s="6" t="s">
        <v>90</v>
      </c>
      <c r="U30" s="6" t="s">
        <v>42</v>
      </c>
      <c r="V30" s="8" t="s">
        <v>18</v>
      </c>
    </row>
    <row r="31" spans="2:22" x14ac:dyDescent="0.3">
      <c r="B31" s="1" t="s">
        <v>91</v>
      </c>
      <c r="C31" s="3" t="s">
        <v>91</v>
      </c>
      <c r="D31" s="1" t="s">
        <v>92</v>
      </c>
      <c r="E31" s="3" t="s">
        <v>607</v>
      </c>
      <c r="F31" s="2" t="s">
        <v>24</v>
      </c>
      <c r="G31" s="2" t="s">
        <v>24</v>
      </c>
      <c r="H31" s="3">
        <v>1992</v>
      </c>
      <c r="I31" s="3">
        <v>1992</v>
      </c>
      <c r="J31" s="3">
        <v>4911</v>
      </c>
      <c r="K31" s="3">
        <v>116.67</v>
      </c>
      <c r="L31" s="3">
        <v>10.09</v>
      </c>
      <c r="M31" s="3">
        <v>4</v>
      </c>
      <c r="N31" s="3">
        <v>6</v>
      </c>
      <c r="O31" s="3">
        <v>8</v>
      </c>
      <c r="P31" s="3">
        <v>6</v>
      </c>
      <c r="Q31" s="2" t="s">
        <v>60</v>
      </c>
      <c r="R31" s="2" t="s">
        <v>26</v>
      </c>
      <c r="S31" s="2" t="s">
        <v>93</v>
      </c>
      <c r="T31" s="2" t="s">
        <v>16</v>
      </c>
      <c r="U31" s="2" t="s">
        <v>17</v>
      </c>
      <c r="V31" s="4" t="s">
        <v>9</v>
      </c>
    </row>
    <row r="32" spans="2:22" x14ac:dyDescent="0.3">
      <c r="B32" s="5" t="s">
        <v>94</v>
      </c>
      <c r="C32" s="7" t="s">
        <v>94</v>
      </c>
      <c r="D32" s="5" t="s">
        <v>86</v>
      </c>
      <c r="E32" s="7" t="s">
        <v>606</v>
      </c>
      <c r="F32" s="6" t="s">
        <v>12</v>
      </c>
      <c r="G32" s="6" t="s">
        <v>12</v>
      </c>
      <c r="H32" s="7">
        <v>2012</v>
      </c>
      <c r="I32" s="7">
        <v>2012</v>
      </c>
      <c r="J32" s="7">
        <v>1362</v>
      </c>
      <c r="K32" s="7">
        <v>427.16</v>
      </c>
      <c r="L32" s="7">
        <v>13.58</v>
      </c>
      <c r="M32" s="7">
        <v>4</v>
      </c>
      <c r="N32" s="7">
        <v>6</v>
      </c>
      <c r="O32" s="7">
        <v>3</v>
      </c>
      <c r="P32" s="7">
        <v>7</v>
      </c>
      <c r="Q32" s="6" t="s">
        <v>95</v>
      </c>
      <c r="R32" s="6" t="s">
        <v>73</v>
      </c>
      <c r="S32" s="6" t="s">
        <v>15</v>
      </c>
      <c r="T32" s="6" t="s">
        <v>16</v>
      </c>
      <c r="U32" s="6" t="s">
        <v>8</v>
      </c>
      <c r="V32" s="8" t="s">
        <v>96</v>
      </c>
    </row>
    <row r="33" spans="2:22" x14ac:dyDescent="0.3">
      <c r="B33" s="1" t="s">
        <v>97</v>
      </c>
      <c r="C33" s="3" t="s">
        <v>97</v>
      </c>
      <c r="D33" s="1" t="s">
        <v>98</v>
      </c>
      <c r="E33" s="3" t="s">
        <v>608</v>
      </c>
      <c r="F33" s="2" t="s">
        <v>48</v>
      </c>
      <c r="G33" s="2" t="s">
        <v>48</v>
      </c>
      <c r="H33" s="3">
        <v>2013</v>
      </c>
      <c r="I33" s="3">
        <v>2013</v>
      </c>
      <c r="J33" s="3">
        <v>5233</v>
      </c>
      <c r="K33" s="3">
        <v>468.01</v>
      </c>
      <c r="L33" s="3">
        <v>8.7200000000000006</v>
      </c>
      <c r="M33" s="3">
        <v>5</v>
      </c>
      <c r="N33" s="3">
        <v>7</v>
      </c>
      <c r="O33" s="3">
        <v>8</v>
      </c>
      <c r="P33" s="3">
        <v>4</v>
      </c>
      <c r="Q33" s="2" t="s">
        <v>60</v>
      </c>
      <c r="R33" s="2" t="s">
        <v>99</v>
      </c>
      <c r="S33" s="2" t="s">
        <v>89</v>
      </c>
      <c r="T33" s="2" t="s">
        <v>100</v>
      </c>
      <c r="U33" s="2" t="s">
        <v>42</v>
      </c>
      <c r="V33" s="4" t="s">
        <v>36</v>
      </c>
    </row>
    <row r="34" spans="2:22" x14ac:dyDescent="0.3">
      <c r="B34" s="5" t="s">
        <v>101</v>
      </c>
      <c r="C34" s="7" t="s">
        <v>101</v>
      </c>
      <c r="D34" s="5" t="s">
        <v>102</v>
      </c>
      <c r="E34" s="7" t="s">
        <v>609</v>
      </c>
      <c r="F34" s="6" t="s">
        <v>81</v>
      </c>
      <c r="G34" s="6" t="s">
        <v>81</v>
      </c>
      <c r="H34" s="7">
        <v>2019</v>
      </c>
      <c r="I34" s="7">
        <v>2019</v>
      </c>
      <c r="J34" s="7">
        <v>9274</v>
      </c>
      <c r="K34" s="7">
        <v>498.09</v>
      </c>
      <c r="L34" s="7">
        <v>6.09</v>
      </c>
      <c r="M34" s="7">
        <v>4</v>
      </c>
      <c r="N34" s="7">
        <v>6</v>
      </c>
      <c r="O34" s="7">
        <v>4</v>
      </c>
      <c r="P34" s="7">
        <v>6</v>
      </c>
      <c r="Q34" s="6" t="s">
        <v>103</v>
      </c>
      <c r="R34" s="6" t="s">
        <v>104</v>
      </c>
      <c r="S34" s="6" t="s">
        <v>89</v>
      </c>
      <c r="T34" s="6" t="s">
        <v>84</v>
      </c>
      <c r="U34" s="6" t="s">
        <v>29</v>
      </c>
      <c r="V34" s="8" t="s">
        <v>96</v>
      </c>
    </row>
    <row r="35" spans="2:22" x14ac:dyDescent="0.3">
      <c r="B35" s="1" t="s">
        <v>105</v>
      </c>
      <c r="C35" s="3" t="s">
        <v>105</v>
      </c>
      <c r="D35" s="1" t="s">
        <v>54</v>
      </c>
      <c r="E35" s="3" t="s">
        <v>599</v>
      </c>
      <c r="F35" s="2" t="s">
        <v>48</v>
      </c>
      <c r="G35" s="2" t="s">
        <v>48</v>
      </c>
      <c r="H35" s="3">
        <v>1999</v>
      </c>
      <c r="I35" s="3">
        <v>1999</v>
      </c>
      <c r="J35" s="3">
        <v>8716</v>
      </c>
      <c r="K35" s="3">
        <v>13.83</v>
      </c>
      <c r="L35" s="3">
        <v>3.17</v>
      </c>
      <c r="M35" s="3">
        <v>8</v>
      </c>
      <c r="N35" s="3">
        <v>4</v>
      </c>
      <c r="O35" s="3">
        <v>8</v>
      </c>
      <c r="P35" s="3">
        <v>2</v>
      </c>
      <c r="Q35" s="2" t="s">
        <v>60</v>
      </c>
      <c r="R35" s="2" t="s">
        <v>99</v>
      </c>
      <c r="S35" s="2" t="s">
        <v>61</v>
      </c>
      <c r="T35" s="2" t="s">
        <v>106</v>
      </c>
      <c r="U35" s="2" t="s">
        <v>29</v>
      </c>
      <c r="V35" s="4" t="s">
        <v>18</v>
      </c>
    </row>
    <row r="36" spans="2:22" x14ac:dyDescent="0.3">
      <c r="B36" s="5" t="s">
        <v>107</v>
      </c>
      <c r="C36" s="7" t="s">
        <v>107</v>
      </c>
      <c r="D36" s="5" t="s">
        <v>108</v>
      </c>
      <c r="E36" s="7" t="s">
        <v>610</v>
      </c>
      <c r="F36" s="6" t="s">
        <v>24</v>
      </c>
      <c r="G36" s="6" t="s">
        <v>24</v>
      </c>
      <c r="H36" s="7">
        <v>2020</v>
      </c>
      <c r="I36" s="7">
        <v>2020</v>
      </c>
      <c r="J36" s="7">
        <v>4375</v>
      </c>
      <c r="K36" s="7">
        <v>257.64999999999998</v>
      </c>
      <c r="L36" s="7">
        <v>18.13</v>
      </c>
      <c r="M36" s="7">
        <v>6</v>
      </c>
      <c r="N36" s="7">
        <v>2</v>
      </c>
      <c r="O36" s="7">
        <v>3</v>
      </c>
      <c r="P36" s="7">
        <v>7</v>
      </c>
      <c r="Q36" s="6" t="s">
        <v>25</v>
      </c>
      <c r="R36" s="6" t="s">
        <v>26</v>
      </c>
      <c r="S36" s="6" t="s">
        <v>93</v>
      </c>
      <c r="T36" s="6" t="s">
        <v>16</v>
      </c>
      <c r="U36" s="6" t="s">
        <v>42</v>
      </c>
      <c r="V36" s="8" t="s">
        <v>9</v>
      </c>
    </row>
    <row r="37" spans="2:22" x14ac:dyDescent="0.3">
      <c r="B37" s="1" t="s">
        <v>109</v>
      </c>
      <c r="C37" s="3" t="s">
        <v>109</v>
      </c>
      <c r="D37" s="1" t="s">
        <v>110</v>
      </c>
      <c r="E37" s="3" t="s">
        <v>611</v>
      </c>
      <c r="F37" s="2" t="s">
        <v>81</v>
      </c>
      <c r="G37" s="2" t="s">
        <v>81</v>
      </c>
      <c r="H37" s="3">
        <v>2015</v>
      </c>
      <c r="I37" s="3">
        <v>2015</v>
      </c>
      <c r="J37" s="3">
        <v>7057</v>
      </c>
      <c r="K37" s="3">
        <v>284.83999999999997</v>
      </c>
      <c r="L37" s="3">
        <v>-1.18</v>
      </c>
      <c r="M37" s="3">
        <v>4</v>
      </c>
      <c r="N37" s="3">
        <v>2</v>
      </c>
      <c r="O37" s="3">
        <v>8</v>
      </c>
      <c r="P37" s="3">
        <v>3</v>
      </c>
      <c r="Q37" s="2" t="s">
        <v>82</v>
      </c>
      <c r="R37" s="2" t="s">
        <v>83</v>
      </c>
      <c r="S37" s="2" t="s">
        <v>89</v>
      </c>
      <c r="T37" s="2" t="s">
        <v>111</v>
      </c>
      <c r="U37" s="2" t="s">
        <v>17</v>
      </c>
      <c r="V37" s="4" t="s">
        <v>18</v>
      </c>
    </row>
    <row r="38" spans="2:22" x14ac:dyDescent="0.3">
      <c r="B38" s="5" t="s">
        <v>112</v>
      </c>
      <c r="C38" s="7" t="s">
        <v>112</v>
      </c>
      <c r="D38" s="5" t="s">
        <v>108</v>
      </c>
      <c r="E38" s="7" t="s">
        <v>610</v>
      </c>
      <c r="F38" s="6" t="s">
        <v>12</v>
      </c>
      <c r="G38" s="6" t="s">
        <v>12</v>
      </c>
      <c r="H38" s="7">
        <v>2002</v>
      </c>
      <c r="I38" s="7">
        <v>2002</v>
      </c>
      <c r="J38" s="7">
        <v>3491</v>
      </c>
      <c r="K38" s="7">
        <v>344.21</v>
      </c>
      <c r="L38" s="7">
        <v>21.44</v>
      </c>
      <c r="M38" s="7">
        <v>9</v>
      </c>
      <c r="N38" s="7">
        <v>2</v>
      </c>
      <c r="O38" s="7">
        <v>5</v>
      </c>
      <c r="P38" s="7">
        <v>6</v>
      </c>
      <c r="Q38" s="6" t="s">
        <v>13</v>
      </c>
      <c r="R38" s="6" t="s">
        <v>33</v>
      </c>
      <c r="S38" s="6" t="s">
        <v>56</v>
      </c>
      <c r="T38" s="6" t="s">
        <v>16</v>
      </c>
      <c r="U38" s="6" t="s">
        <v>29</v>
      </c>
      <c r="V38" s="8" t="s">
        <v>18</v>
      </c>
    </row>
    <row r="39" spans="2:22" x14ac:dyDescent="0.3">
      <c r="B39" s="1" t="s">
        <v>113</v>
      </c>
      <c r="C39" s="3" t="s">
        <v>113</v>
      </c>
      <c r="D39" s="1" t="s">
        <v>114</v>
      </c>
      <c r="E39" s="3" t="s">
        <v>612</v>
      </c>
      <c r="F39" s="2" t="s">
        <v>3</v>
      </c>
      <c r="G39" s="2" t="s">
        <v>3</v>
      </c>
      <c r="H39" s="3">
        <v>2006</v>
      </c>
      <c r="I39" s="3">
        <v>2006</v>
      </c>
      <c r="J39" s="3">
        <v>4115</v>
      </c>
      <c r="K39" s="3">
        <v>140.72999999999999</v>
      </c>
      <c r="L39" s="3">
        <v>4.16</v>
      </c>
      <c r="M39" s="3">
        <v>9</v>
      </c>
      <c r="N39" s="3">
        <v>2</v>
      </c>
      <c r="O39" s="3">
        <v>6</v>
      </c>
      <c r="P39" s="3">
        <v>2</v>
      </c>
      <c r="Q39" s="2" t="s">
        <v>39</v>
      </c>
      <c r="R39" s="2" t="s">
        <v>115</v>
      </c>
      <c r="S39" s="2" t="s">
        <v>116</v>
      </c>
      <c r="T39" s="2" t="s">
        <v>21</v>
      </c>
      <c r="U39" s="2" t="s">
        <v>42</v>
      </c>
      <c r="V39" s="4" t="s">
        <v>18</v>
      </c>
    </row>
    <row r="40" spans="2:22" x14ac:dyDescent="0.3">
      <c r="B40" s="5" t="s">
        <v>117</v>
      </c>
      <c r="C40" s="7" t="s">
        <v>117</v>
      </c>
      <c r="D40" s="5" t="s">
        <v>118</v>
      </c>
      <c r="E40" s="7" t="s">
        <v>613</v>
      </c>
      <c r="F40" s="6" t="s">
        <v>12</v>
      </c>
      <c r="G40" s="6" t="s">
        <v>12</v>
      </c>
      <c r="H40" s="7">
        <v>1992</v>
      </c>
      <c r="I40" s="7">
        <v>1992</v>
      </c>
      <c r="J40" s="7">
        <v>6578</v>
      </c>
      <c r="K40" s="7">
        <v>170.85</v>
      </c>
      <c r="L40" s="7">
        <v>21.31</v>
      </c>
      <c r="M40" s="7">
        <v>4</v>
      </c>
      <c r="N40" s="7">
        <v>4</v>
      </c>
      <c r="O40" s="7">
        <v>5</v>
      </c>
      <c r="P40" s="7">
        <v>7</v>
      </c>
      <c r="Q40" s="6" t="s">
        <v>55</v>
      </c>
      <c r="R40" s="6" t="s">
        <v>73</v>
      </c>
      <c r="S40" s="6" t="s">
        <v>34</v>
      </c>
      <c r="T40" s="6" t="s">
        <v>35</v>
      </c>
      <c r="U40" s="6" t="s">
        <v>8</v>
      </c>
      <c r="V40" s="8" t="s">
        <v>9</v>
      </c>
    </row>
    <row r="41" spans="2:22" x14ac:dyDescent="0.3">
      <c r="B41" s="1" t="s">
        <v>119</v>
      </c>
      <c r="C41" s="3" t="s">
        <v>119</v>
      </c>
      <c r="D41" s="1" t="s">
        <v>120</v>
      </c>
      <c r="E41" s="3" t="s">
        <v>614</v>
      </c>
      <c r="F41" s="2" t="s">
        <v>48</v>
      </c>
      <c r="G41" s="2" t="s">
        <v>48</v>
      </c>
      <c r="H41" s="3">
        <v>1996</v>
      </c>
      <c r="I41" s="3">
        <v>1996</v>
      </c>
      <c r="J41" s="3">
        <v>676</v>
      </c>
      <c r="K41" s="3">
        <v>63.12</v>
      </c>
      <c r="L41" s="3">
        <v>-3.67</v>
      </c>
      <c r="M41" s="3">
        <v>7</v>
      </c>
      <c r="N41" s="3">
        <v>4</v>
      </c>
      <c r="O41" s="3">
        <v>8</v>
      </c>
      <c r="P41" s="3">
        <v>4</v>
      </c>
      <c r="Q41" s="2" t="s">
        <v>121</v>
      </c>
      <c r="R41" s="2" t="s">
        <v>50</v>
      </c>
      <c r="S41" s="2" t="s">
        <v>89</v>
      </c>
      <c r="T41" s="2" t="s">
        <v>100</v>
      </c>
      <c r="U41" s="2" t="s">
        <v>42</v>
      </c>
      <c r="V41" s="4" t="s">
        <v>18</v>
      </c>
    </row>
    <row r="42" spans="2:22" x14ac:dyDescent="0.3">
      <c r="B42" s="5" t="s">
        <v>122</v>
      </c>
      <c r="C42" s="7" t="s">
        <v>122</v>
      </c>
      <c r="D42" s="5" t="s">
        <v>123</v>
      </c>
      <c r="E42" s="7" t="s">
        <v>615</v>
      </c>
      <c r="F42" s="6" t="s">
        <v>48</v>
      </c>
      <c r="G42" s="6" t="s">
        <v>48</v>
      </c>
      <c r="H42" s="7">
        <v>2014</v>
      </c>
      <c r="I42" s="7">
        <v>2014</v>
      </c>
      <c r="J42" s="7">
        <v>3278</v>
      </c>
      <c r="K42" s="7">
        <v>188.47</v>
      </c>
      <c r="L42" s="7">
        <v>4.79</v>
      </c>
      <c r="M42" s="7">
        <v>4</v>
      </c>
      <c r="N42" s="7">
        <v>7</v>
      </c>
      <c r="O42" s="7">
        <v>5</v>
      </c>
      <c r="P42" s="7">
        <v>6</v>
      </c>
      <c r="Q42" s="6" t="s">
        <v>124</v>
      </c>
      <c r="R42" s="6" t="s">
        <v>50</v>
      </c>
      <c r="S42" s="6" t="s">
        <v>51</v>
      </c>
      <c r="T42" s="6" t="s">
        <v>52</v>
      </c>
      <c r="U42" s="6" t="s">
        <v>17</v>
      </c>
      <c r="V42" s="8" t="s">
        <v>96</v>
      </c>
    </row>
    <row r="43" spans="2:22" x14ac:dyDescent="0.3">
      <c r="B43" s="1" t="s">
        <v>125</v>
      </c>
      <c r="C43" s="3" t="s">
        <v>125</v>
      </c>
      <c r="D43" s="1" t="s">
        <v>126</v>
      </c>
      <c r="E43" s="3" t="s">
        <v>616</v>
      </c>
      <c r="F43" s="2" t="s">
        <v>24</v>
      </c>
      <c r="G43" s="2" t="s">
        <v>24</v>
      </c>
      <c r="H43" s="3">
        <v>1992</v>
      </c>
      <c r="I43" s="3">
        <v>1992</v>
      </c>
      <c r="J43" s="3">
        <v>6938</v>
      </c>
      <c r="K43" s="3">
        <v>335.82</v>
      </c>
      <c r="L43" s="3">
        <v>3.61</v>
      </c>
      <c r="M43" s="3">
        <v>7</v>
      </c>
      <c r="N43" s="3">
        <v>7</v>
      </c>
      <c r="O43" s="3">
        <v>8</v>
      </c>
      <c r="P43" s="3">
        <v>3</v>
      </c>
      <c r="Q43" s="2" t="s">
        <v>65</v>
      </c>
      <c r="R43" s="2" t="s">
        <v>26</v>
      </c>
      <c r="S43" s="2" t="s">
        <v>27</v>
      </c>
      <c r="T43" s="2" t="s">
        <v>16</v>
      </c>
      <c r="U43" s="2" t="s">
        <v>42</v>
      </c>
      <c r="V43" s="4" t="s">
        <v>18</v>
      </c>
    </row>
    <row r="44" spans="2:22" x14ac:dyDescent="0.3">
      <c r="B44" s="5" t="s">
        <v>127</v>
      </c>
      <c r="C44" s="7" t="s">
        <v>127</v>
      </c>
      <c r="D44" s="5" t="s">
        <v>128</v>
      </c>
      <c r="E44" s="7" t="s">
        <v>617</v>
      </c>
      <c r="F44" s="6" t="s">
        <v>48</v>
      </c>
      <c r="G44" s="6" t="s">
        <v>48</v>
      </c>
      <c r="H44" s="7">
        <v>2000</v>
      </c>
      <c r="I44" s="7">
        <v>2000</v>
      </c>
      <c r="J44" s="7">
        <v>7668</v>
      </c>
      <c r="K44" s="7">
        <v>226.48</v>
      </c>
      <c r="L44" s="7">
        <v>19.55</v>
      </c>
      <c r="M44" s="7">
        <v>9</v>
      </c>
      <c r="N44" s="7">
        <v>3</v>
      </c>
      <c r="O44" s="7">
        <v>7</v>
      </c>
      <c r="P44" s="7">
        <v>5</v>
      </c>
      <c r="Q44" s="6" t="s">
        <v>60</v>
      </c>
      <c r="R44" s="6" t="s">
        <v>50</v>
      </c>
      <c r="S44" s="6" t="s">
        <v>51</v>
      </c>
      <c r="T44" s="6" t="s">
        <v>52</v>
      </c>
      <c r="U44" s="6" t="s">
        <v>8</v>
      </c>
      <c r="V44" s="8" t="s">
        <v>18</v>
      </c>
    </row>
    <row r="45" spans="2:22" x14ac:dyDescent="0.3">
      <c r="B45" s="1" t="s">
        <v>129</v>
      </c>
      <c r="C45" s="3" t="s">
        <v>129</v>
      </c>
      <c r="D45" s="1" t="s">
        <v>130</v>
      </c>
      <c r="E45" s="3" t="s">
        <v>618</v>
      </c>
      <c r="F45" s="2" t="s">
        <v>24</v>
      </c>
      <c r="G45" s="2" t="s">
        <v>24</v>
      </c>
      <c r="H45" s="3">
        <v>1992</v>
      </c>
      <c r="I45" s="3">
        <v>1992</v>
      </c>
      <c r="J45" s="3">
        <v>2464</v>
      </c>
      <c r="K45" s="3">
        <v>21.97</v>
      </c>
      <c r="L45" s="3">
        <v>6.99</v>
      </c>
      <c r="M45" s="3">
        <v>5</v>
      </c>
      <c r="N45" s="3">
        <v>5</v>
      </c>
      <c r="O45" s="3">
        <v>7</v>
      </c>
      <c r="P45" s="3">
        <v>2</v>
      </c>
      <c r="Q45" s="2" t="s">
        <v>25</v>
      </c>
      <c r="R45" s="2" t="s">
        <v>131</v>
      </c>
      <c r="S45" s="2" t="s">
        <v>132</v>
      </c>
      <c r="T45" s="2" t="s">
        <v>68</v>
      </c>
      <c r="U45" s="2" t="s">
        <v>17</v>
      </c>
      <c r="V45" s="4" t="s">
        <v>18</v>
      </c>
    </row>
    <row r="46" spans="2:22" x14ac:dyDescent="0.3">
      <c r="B46" s="5" t="s">
        <v>133</v>
      </c>
      <c r="C46" s="7" t="s">
        <v>133</v>
      </c>
      <c r="D46" s="5" t="s">
        <v>134</v>
      </c>
      <c r="E46" s="7" t="s">
        <v>619</v>
      </c>
      <c r="F46" s="6" t="s">
        <v>12</v>
      </c>
      <c r="G46" s="6" t="s">
        <v>12</v>
      </c>
      <c r="H46" s="7">
        <v>2007</v>
      </c>
      <c r="I46" s="7">
        <v>2007</v>
      </c>
      <c r="J46" s="7">
        <v>3635</v>
      </c>
      <c r="K46" s="7">
        <v>96.18</v>
      </c>
      <c r="L46" s="7">
        <v>19.04</v>
      </c>
      <c r="M46" s="7">
        <v>9</v>
      </c>
      <c r="N46" s="7">
        <v>6</v>
      </c>
      <c r="O46" s="7">
        <v>6</v>
      </c>
      <c r="P46" s="7">
        <v>2</v>
      </c>
      <c r="Q46" s="6" t="s">
        <v>55</v>
      </c>
      <c r="R46" s="6" t="s">
        <v>33</v>
      </c>
      <c r="S46" s="6" t="s">
        <v>15</v>
      </c>
      <c r="T46" s="6" t="s">
        <v>74</v>
      </c>
      <c r="U46" s="6" t="s">
        <v>29</v>
      </c>
      <c r="V46" s="8" t="s">
        <v>18</v>
      </c>
    </row>
    <row r="47" spans="2:22" x14ac:dyDescent="0.3">
      <c r="B47" s="1" t="s">
        <v>135</v>
      </c>
      <c r="C47" s="3" t="s">
        <v>135</v>
      </c>
      <c r="D47" s="1" t="s">
        <v>136</v>
      </c>
      <c r="E47" s="3" t="s">
        <v>620</v>
      </c>
      <c r="F47" s="2" t="s">
        <v>48</v>
      </c>
      <c r="G47" s="2" t="s">
        <v>48</v>
      </c>
      <c r="H47" s="3">
        <v>2000</v>
      </c>
      <c r="I47" s="3">
        <v>2000</v>
      </c>
      <c r="J47" s="3">
        <v>7301</v>
      </c>
      <c r="K47" s="3">
        <v>310.2</v>
      </c>
      <c r="L47" s="3">
        <v>17.55</v>
      </c>
      <c r="M47" s="3">
        <v>9</v>
      </c>
      <c r="N47" s="3">
        <v>6</v>
      </c>
      <c r="O47" s="3">
        <v>6</v>
      </c>
      <c r="P47" s="3">
        <v>6</v>
      </c>
      <c r="Q47" s="2" t="s">
        <v>121</v>
      </c>
      <c r="R47" s="2" t="s">
        <v>14</v>
      </c>
      <c r="S47" s="2" t="s">
        <v>89</v>
      </c>
      <c r="T47" s="2" t="s">
        <v>62</v>
      </c>
      <c r="U47" s="2" t="s">
        <v>42</v>
      </c>
      <c r="V47" s="4" t="s">
        <v>36</v>
      </c>
    </row>
    <row r="48" spans="2:22" x14ac:dyDescent="0.3">
      <c r="B48" s="5" t="s">
        <v>137</v>
      </c>
      <c r="C48" s="7" t="s">
        <v>137</v>
      </c>
      <c r="D48" s="5" t="s">
        <v>138</v>
      </c>
      <c r="E48" s="7" t="s">
        <v>621</v>
      </c>
      <c r="F48" s="6" t="s">
        <v>81</v>
      </c>
      <c r="G48" s="6" t="s">
        <v>81</v>
      </c>
      <c r="H48" s="7">
        <v>2020</v>
      </c>
      <c r="I48" s="7">
        <v>2020</v>
      </c>
      <c r="J48" s="7">
        <v>3969</v>
      </c>
      <c r="K48" s="7">
        <v>144.55000000000001</v>
      </c>
      <c r="L48" s="7">
        <v>-0.48</v>
      </c>
      <c r="M48" s="7">
        <v>4</v>
      </c>
      <c r="N48" s="7">
        <v>7</v>
      </c>
      <c r="O48" s="7">
        <v>5</v>
      </c>
      <c r="P48" s="7">
        <v>3</v>
      </c>
      <c r="Q48" s="6" t="s">
        <v>103</v>
      </c>
      <c r="R48" s="6" t="s">
        <v>139</v>
      </c>
      <c r="S48" s="6" t="s">
        <v>89</v>
      </c>
      <c r="T48" s="6" t="s">
        <v>84</v>
      </c>
      <c r="U48" s="6" t="s">
        <v>29</v>
      </c>
      <c r="V48" s="8" t="s">
        <v>9</v>
      </c>
    </row>
    <row r="49" spans="2:22" x14ac:dyDescent="0.3">
      <c r="B49" s="1" t="s">
        <v>140</v>
      </c>
      <c r="C49" s="3" t="s">
        <v>140</v>
      </c>
      <c r="D49" s="1" t="s">
        <v>86</v>
      </c>
      <c r="E49" s="3" t="s">
        <v>606</v>
      </c>
      <c r="F49" s="2" t="s">
        <v>24</v>
      </c>
      <c r="G49" s="2" t="s">
        <v>24</v>
      </c>
      <c r="H49" s="3">
        <v>1984</v>
      </c>
      <c r="I49" s="3">
        <v>1984</v>
      </c>
      <c r="J49" s="3">
        <v>6847</v>
      </c>
      <c r="K49" s="3">
        <v>209.72</v>
      </c>
      <c r="L49" s="3">
        <v>9.31</v>
      </c>
      <c r="M49" s="3">
        <v>8</v>
      </c>
      <c r="N49" s="3">
        <v>5</v>
      </c>
      <c r="O49" s="3">
        <v>6</v>
      </c>
      <c r="P49" s="3">
        <v>2</v>
      </c>
      <c r="Q49" s="2" t="s">
        <v>141</v>
      </c>
      <c r="R49" s="2" t="s">
        <v>131</v>
      </c>
      <c r="S49" s="2" t="s">
        <v>27</v>
      </c>
      <c r="T49" s="2" t="s">
        <v>16</v>
      </c>
      <c r="U49" s="2" t="s">
        <v>17</v>
      </c>
      <c r="V49" s="4" t="s">
        <v>18</v>
      </c>
    </row>
    <row r="50" spans="2:22" x14ac:dyDescent="0.3">
      <c r="B50" s="5" t="s">
        <v>142</v>
      </c>
      <c r="C50" s="7" t="s">
        <v>142</v>
      </c>
      <c r="D50" s="5" t="s">
        <v>143</v>
      </c>
      <c r="E50" s="7" t="s">
        <v>622</v>
      </c>
      <c r="F50" s="6" t="s">
        <v>81</v>
      </c>
      <c r="G50" s="6" t="s">
        <v>81</v>
      </c>
      <c r="H50" s="7">
        <v>2006</v>
      </c>
      <c r="I50" s="7">
        <v>2006</v>
      </c>
      <c r="J50" s="7">
        <v>8868</v>
      </c>
      <c r="K50" s="7">
        <v>376.28</v>
      </c>
      <c r="L50" s="7">
        <v>6.67</v>
      </c>
      <c r="M50" s="7">
        <v>8</v>
      </c>
      <c r="N50" s="7">
        <v>6</v>
      </c>
      <c r="O50" s="7">
        <v>4</v>
      </c>
      <c r="P50" s="7">
        <v>5</v>
      </c>
      <c r="Q50" s="6" t="s">
        <v>144</v>
      </c>
      <c r="R50" s="6" t="s">
        <v>139</v>
      </c>
      <c r="S50" s="6" t="s">
        <v>145</v>
      </c>
      <c r="T50" s="6" t="s">
        <v>90</v>
      </c>
      <c r="U50" s="6" t="s">
        <v>8</v>
      </c>
      <c r="V50" s="8" t="s">
        <v>36</v>
      </c>
    </row>
    <row r="51" spans="2:22" x14ac:dyDescent="0.3">
      <c r="B51" s="1" t="s">
        <v>146</v>
      </c>
      <c r="C51" s="3" t="s">
        <v>146</v>
      </c>
      <c r="D51" s="1" t="s">
        <v>147</v>
      </c>
      <c r="E51" s="3" t="s">
        <v>623</v>
      </c>
      <c r="F51" s="2" t="s">
        <v>81</v>
      </c>
      <c r="G51" s="2" t="s">
        <v>81</v>
      </c>
      <c r="H51" s="3">
        <v>1988</v>
      </c>
      <c r="I51" s="3">
        <v>1988</v>
      </c>
      <c r="J51" s="3">
        <v>8801</v>
      </c>
      <c r="K51" s="3">
        <v>23.21</v>
      </c>
      <c r="L51" s="3">
        <v>0.45</v>
      </c>
      <c r="M51" s="3">
        <v>7</v>
      </c>
      <c r="N51" s="3">
        <v>6</v>
      </c>
      <c r="O51" s="3">
        <v>7</v>
      </c>
      <c r="P51" s="3">
        <v>7</v>
      </c>
      <c r="Q51" s="2" t="s">
        <v>87</v>
      </c>
      <c r="R51" s="2" t="s">
        <v>83</v>
      </c>
      <c r="S51" s="2" t="s">
        <v>145</v>
      </c>
      <c r="T51" s="2" t="s">
        <v>111</v>
      </c>
      <c r="U51" s="2" t="s">
        <v>17</v>
      </c>
      <c r="V51" s="4" t="s">
        <v>36</v>
      </c>
    </row>
    <row r="52" spans="2:22" x14ac:dyDescent="0.3">
      <c r="B52" s="5" t="s">
        <v>148</v>
      </c>
      <c r="C52" s="7" t="s">
        <v>148</v>
      </c>
      <c r="D52" s="5" t="s">
        <v>149</v>
      </c>
      <c r="E52" s="7" t="s">
        <v>624</v>
      </c>
      <c r="F52" s="6" t="s">
        <v>3</v>
      </c>
      <c r="G52" s="6" t="s">
        <v>3</v>
      </c>
      <c r="H52" s="7">
        <v>1993</v>
      </c>
      <c r="I52" s="7">
        <v>1993</v>
      </c>
      <c r="J52" s="7">
        <v>7499</v>
      </c>
      <c r="K52" s="7">
        <v>170.15</v>
      </c>
      <c r="L52" s="7">
        <v>1.73</v>
      </c>
      <c r="M52" s="7">
        <v>7</v>
      </c>
      <c r="N52" s="7">
        <v>4</v>
      </c>
      <c r="O52" s="7">
        <v>6</v>
      </c>
      <c r="P52" s="7">
        <v>4</v>
      </c>
      <c r="Q52" s="6" t="s">
        <v>4</v>
      </c>
      <c r="R52" s="6" t="s">
        <v>5</v>
      </c>
      <c r="S52" s="6" t="s">
        <v>6</v>
      </c>
      <c r="T52" s="6" t="s">
        <v>7</v>
      </c>
      <c r="U52" s="6" t="s">
        <v>42</v>
      </c>
      <c r="V52" s="8" t="s">
        <v>18</v>
      </c>
    </row>
    <row r="53" spans="2:22" x14ac:dyDescent="0.3">
      <c r="B53" s="1" t="s">
        <v>150</v>
      </c>
      <c r="C53" s="3" t="s">
        <v>150</v>
      </c>
      <c r="D53" s="1" t="s">
        <v>151</v>
      </c>
      <c r="E53" s="3" t="s">
        <v>625</v>
      </c>
      <c r="F53" s="2" t="s">
        <v>12</v>
      </c>
      <c r="G53" s="2" t="s">
        <v>12</v>
      </c>
      <c r="H53" s="3">
        <v>1995</v>
      </c>
      <c r="I53" s="3">
        <v>1995</v>
      </c>
      <c r="J53" s="3">
        <v>3316</v>
      </c>
      <c r="K53" s="3">
        <v>421.22</v>
      </c>
      <c r="L53" s="3">
        <v>18.010000000000002</v>
      </c>
      <c r="M53" s="3">
        <v>8</v>
      </c>
      <c r="N53" s="3">
        <v>3</v>
      </c>
      <c r="O53" s="3">
        <v>4</v>
      </c>
      <c r="P53" s="3">
        <v>3</v>
      </c>
      <c r="Q53" s="2" t="s">
        <v>13</v>
      </c>
      <c r="R53" s="2" t="s">
        <v>152</v>
      </c>
      <c r="S53" s="2" t="s">
        <v>56</v>
      </c>
      <c r="T53" s="2" t="s">
        <v>74</v>
      </c>
      <c r="U53" s="2" t="s">
        <v>42</v>
      </c>
      <c r="V53" s="4" t="s">
        <v>18</v>
      </c>
    </row>
    <row r="54" spans="2:22" x14ac:dyDescent="0.3">
      <c r="B54" s="5" t="s">
        <v>153</v>
      </c>
      <c r="C54" s="7" t="s">
        <v>153</v>
      </c>
      <c r="D54" s="5" t="s">
        <v>23</v>
      </c>
      <c r="E54" s="7" t="s">
        <v>594</v>
      </c>
      <c r="F54" s="6" t="s">
        <v>48</v>
      </c>
      <c r="G54" s="6" t="s">
        <v>48</v>
      </c>
      <c r="H54" s="7">
        <v>1987</v>
      </c>
      <c r="I54" s="7">
        <v>1987</v>
      </c>
      <c r="J54" s="7">
        <v>2733</v>
      </c>
      <c r="K54" s="7">
        <v>482.71</v>
      </c>
      <c r="L54" s="7">
        <v>12.76</v>
      </c>
      <c r="M54" s="7">
        <v>4</v>
      </c>
      <c r="N54" s="7">
        <v>6</v>
      </c>
      <c r="O54" s="7">
        <v>3</v>
      </c>
      <c r="P54" s="7">
        <v>4</v>
      </c>
      <c r="Q54" s="6" t="s">
        <v>51</v>
      </c>
      <c r="R54" s="6" t="s">
        <v>154</v>
      </c>
      <c r="S54" s="6" t="s">
        <v>89</v>
      </c>
      <c r="T54" s="6" t="s">
        <v>100</v>
      </c>
      <c r="U54" s="6" t="s">
        <v>8</v>
      </c>
      <c r="V54" s="8" t="s">
        <v>96</v>
      </c>
    </row>
    <row r="55" spans="2:22" x14ac:dyDescent="0.3">
      <c r="B55" s="1" t="s">
        <v>155</v>
      </c>
      <c r="C55" s="3" t="s">
        <v>155</v>
      </c>
      <c r="D55" s="1" t="s">
        <v>156</v>
      </c>
      <c r="E55" s="3" t="s">
        <v>626</v>
      </c>
      <c r="F55" s="2" t="s">
        <v>3</v>
      </c>
      <c r="G55" s="2" t="s">
        <v>3</v>
      </c>
      <c r="H55" s="3">
        <v>2018</v>
      </c>
      <c r="I55" s="3">
        <v>2018</v>
      </c>
      <c r="J55" s="3">
        <v>2033</v>
      </c>
      <c r="K55" s="3">
        <v>400.15</v>
      </c>
      <c r="L55" s="3">
        <v>20.49</v>
      </c>
      <c r="M55" s="3">
        <v>8</v>
      </c>
      <c r="N55" s="3">
        <v>2</v>
      </c>
      <c r="O55" s="3">
        <v>5</v>
      </c>
      <c r="P55" s="3">
        <v>6</v>
      </c>
      <c r="Q55" s="2" t="s">
        <v>39</v>
      </c>
      <c r="R55" s="2" t="s">
        <v>157</v>
      </c>
      <c r="S55" s="2" t="s">
        <v>6</v>
      </c>
      <c r="T55" s="2" t="s">
        <v>78</v>
      </c>
      <c r="U55" s="2" t="s">
        <v>8</v>
      </c>
      <c r="V55" s="4" t="s">
        <v>18</v>
      </c>
    </row>
    <row r="56" spans="2:22" x14ac:dyDescent="0.3">
      <c r="B56" s="5" t="s">
        <v>158</v>
      </c>
      <c r="C56" s="7" t="s">
        <v>581</v>
      </c>
      <c r="D56" s="5" t="s">
        <v>159</v>
      </c>
      <c r="E56" s="7" t="s">
        <v>627</v>
      </c>
      <c r="F56" s="6" t="s">
        <v>81</v>
      </c>
      <c r="G56" s="6" t="s">
        <v>81</v>
      </c>
      <c r="H56" s="7">
        <v>2003</v>
      </c>
      <c r="I56" s="7">
        <v>2003</v>
      </c>
      <c r="J56" s="7">
        <v>7582</v>
      </c>
      <c r="K56" s="7">
        <v>356.58</v>
      </c>
      <c r="L56" s="7">
        <v>4.67</v>
      </c>
      <c r="M56" s="7">
        <v>7</v>
      </c>
      <c r="N56" s="7">
        <v>3</v>
      </c>
      <c r="O56" s="7">
        <v>8</v>
      </c>
      <c r="P56" s="7">
        <v>6</v>
      </c>
      <c r="Q56" s="6" t="s">
        <v>103</v>
      </c>
      <c r="R56" s="6" t="s">
        <v>88</v>
      </c>
      <c r="S56" s="6" t="s">
        <v>145</v>
      </c>
      <c r="T56" s="6" t="s">
        <v>90</v>
      </c>
      <c r="U56" s="6" t="s">
        <v>42</v>
      </c>
      <c r="V56" s="8" t="s">
        <v>18</v>
      </c>
    </row>
    <row r="57" spans="2:22" x14ac:dyDescent="0.3">
      <c r="B57" s="1" t="s">
        <v>160</v>
      </c>
      <c r="C57" s="3" t="s">
        <v>160</v>
      </c>
      <c r="D57" s="1" t="s">
        <v>159</v>
      </c>
      <c r="E57" s="3" t="s">
        <v>627</v>
      </c>
      <c r="F57" s="2" t="s">
        <v>3</v>
      </c>
      <c r="G57" s="2" t="s">
        <v>3</v>
      </c>
      <c r="H57" s="3">
        <v>2008</v>
      </c>
      <c r="I57" s="3">
        <v>2008</v>
      </c>
      <c r="J57" s="3">
        <v>4045</v>
      </c>
      <c r="K57" s="3">
        <v>377.73</v>
      </c>
      <c r="L57" s="3">
        <v>9.6300000000000008</v>
      </c>
      <c r="M57" s="3">
        <v>8</v>
      </c>
      <c r="N57" s="3">
        <v>6</v>
      </c>
      <c r="O57" s="3">
        <v>8</v>
      </c>
      <c r="P57" s="3">
        <v>5</v>
      </c>
      <c r="Q57" s="2" t="s">
        <v>161</v>
      </c>
      <c r="R57" s="2" t="s">
        <v>77</v>
      </c>
      <c r="S57" s="2" t="s">
        <v>40</v>
      </c>
      <c r="T57" s="2" t="s">
        <v>78</v>
      </c>
      <c r="U57" s="2" t="s">
        <v>29</v>
      </c>
      <c r="V57" s="4" t="s">
        <v>18</v>
      </c>
    </row>
    <row r="58" spans="2:22" x14ac:dyDescent="0.3">
      <c r="B58" s="5" t="s">
        <v>162</v>
      </c>
      <c r="C58" s="7" t="s">
        <v>162</v>
      </c>
      <c r="D58" s="5" t="s">
        <v>163</v>
      </c>
      <c r="E58" s="7" t="s">
        <v>628</v>
      </c>
      <c r="F58" s="6" t="s">
        <v>3</v>
      </c>
      <c r="G58" s="6" t="s">
        <v>3</v>
      </c>
      <c r="H58" s="7">
        <v>1997</v>
      </c>
      <c r="I58" s="7">
        <v>1997</v>
      </c>
      <c r="J58" s="7">
        <v>9817</v>
      </c>
      <c r="K58" s="7">
        <v>353.58</v>
      </c>
      <c r="L58" s="7">
        <v>11.66</v>
      </c>
      <c r="M58" s="7">
        <v>6</v>
      </c>
      <c r="N58" s="7">
        <v>6</v>
      </c>
      <c r="O58" s="7">
        <v>3</v>
      </c>
      <c r="P58" s="7">
        <v>6</v>
      </c>
      <c r="Q58" s="6" t="s">
        <v>103</v>
      </c>
      <c r="R58" s="6" t="s">
        <v>77</v>
      </c>
      <c r="S58" s="6" t="s">
        <v>116</v>
      </c>
      <c r="T58" s="6" t="s">
        <v>21</v>
      </c>
      <c r="U58" s="6" t="s">
        <v>17</v>
      </c>
      <c r="V58" s="8" t="s">
        <v>96</v>
      </c>
    </row>
    <row r="59" spans="2:22" x14ac:dyDescent="0.3">
      <c r="B59" s="1" t="s">
        <v>164</v>
      </c>
      <c r="C59" s="3" t="s">
        <v>164</v>
      </c>
      <c r="D59" s="1" t="s">
        <v>165</v>
      </c>
      <c r="E59" s="3" t="s">
        <v>629</v>
      </c>
      <c r="F59" s="2" t="s">
        <v>81</v>
      </c>
      <c r="G59" s="2" t="s">
        <v>81</v>
      </c>
      <c r="H59" s="3">
        <v>2008</v>
      </c>
      <c r="I59" s="3">
        <v>2008</v>
      </c>
      <c r="J59" s="3">
        <v>332</v>
      </c>
      <c r="K59" s="3">
        <v>55.6</v>
      </c>
      <c r="L59" s="3">
        <v>24.9</v>
      </c>
      <c r="M59" s="3">
        <v>5</v>
      </c>
      <c r="N59" s="3">
        <v>5</v>
      </c>
      <c r="O59" s="3">
        <v>8</v>
      </c>
      <c r="P59" s="3">
        <v>3</v>
      </c>
      <c r="Q59" s="2" t="s">
        <v>103</v>
      </c>
      <c r="R59" s="2" t="s">
        <v>139</v>
      </c>
      <c r="S59" s="2" t="s">
        <v>145</v>
      </c>
      <c r="T59" s="2" t="s">
        <v>166</v>
      </c>
      <c r="U59" s="2" t="s">
        <v>17</v>
      </c>
      <c r="V59" s="4" t="s">
        <v>18</v>
      </c>
    </row>
    <row r="60" spans="2:22" x14ac:dyDescent="0.3">
      <c r="B60" s="5" t="s">
        <v>167</v>
      </c>
      <c r="C60" s="7" t="s">
        <v>167</v>
      </c>
      <c r="D60" s="5" t="s">
        <v>168</v>
      </c>
      <c r="E60" s="7" t="s">
        <v>630</v>
      </c>
      <c r="F60" s="6" t="s">
        <v>3</v>
      </c>
      <c r="G60" s="6" t="s">
        <v>3</v>
      </c>
      <c r="H60" s="7">
        <v>2009</v>
      </c>
      <c r="I60" s="7">
        <v>2009</v>
      </c>
      <c r="J60" s="7">
        <v>4488</v>
      </c>
      <c r="K60" s="7">
        <v>160.25</v>
      </c>
      <c r="L60" s="7">
        <v>17.16</v>
      </c>
      <c r="M60" s="7">
        <v>5</v>
      </c>
      <c r="N60" s="7">
        <v>2</v>
      </c>
      <c r="O60" s="7">
        <v>8</v>
      </c>
      <c r="P60" s="7">
        <v>3</v>
      </c>
      <c r="Q60" s="6" t="s">
        <v>161</v>
      </c>
      <c r="R60" s="6" t="s">
        <v>77</v>
      </c>
      <c r="S60" s="6" t="s">
        <v>116</v>
      </c>
      <c r="T60" s="6" t="s">
        <v>41</v>
      </c>
      <c r="U60" s="6" t="s">
        <v>29</v>
      </c>
      <c r="V60" s="8" t="s">
        <v>18</v>
      </c>
    </row>
    <row r="61" spans="2:22" x14ac:dyDescent="0.3">
      <c r="B61" s="1" t="s">
        <v>169</v>
      </c>
      <c r="C61" s="3" t="s">
        <v>169</v>
      </c>
      <c r="D61" s="1" t="s">
        <v>170</v>
      </c>
      <c r="E61" s="3" t="s">
        <v>631</v>
      </c>
      <c r="F61" s="2" t="s">
        <v>48</v>
      </c>
      <c r="G61" s="2" t="s">
        <v>48</v>
      </c>
      <c r="H61" s="3">
        <v>2018</v>
      </c>
      <c r="I61" s="3">
        <v>2018</v>
      </c>
      <c r="J61" s="3">
        <v>4686</v>
      </c>
      <c r="K61" s="3">
        <v>490.45</v>
      </c>
      <c r="L61" s="3">
        <v>-3.63</v>
      </c>
      <c r="M61" s="3">
        <v>5</v>
      </c>
      <c r="N61" s="3">
        <v>4</v>
      </c>
      <c r="O61" s="3">
        <v>4</v>
      </c>
      <c r="P61" s="3">
        <v>4</v>
      </c>
      <c r="Q61" s="2" t="s">
        <v>60</v>
      </c>
      <c r="R61" s="2" t="s">
        <v>99</v>
      </c>
      <c r="S61" s="2" t="s">
        <v>61</v>
      </c>
      <c r="T61" s="2" t="s">
        <v>100</v>
      </c>
      <c r="U61" s="2" t="s">
        <v>42</v>
      </c>
      <c r="V61" s="4" t="s">
        <v>36</v>
      </c>
    </row>
    <row r="62" spans="2:22" x14ac:dyDescent="0.3">
      <c r="B62" s="5" t="s">
        <v>171</v>
      </c>
      <c r="C62" s="7" t="s">
        <v>171</v>
      </c>
      <c r="D62" s="5" t="s">
        <v>172</v>
      </c>
      <c r="E62" s="7" t="s">
        <v>632</v>
      </c>
      <c r="F62" s="6" t="s">
        <v>3</v>
      </c>
      <c r="G62" s="6" t="s">
        <v>3</v>
      </c>
      <c r="H62" s="7">
        <v>1988</v>
      </c>
      <c r="I62" s="7">
        <v>1988</v>
      </c>
      <c r="J62" s="7">
        <v>8092</v>
      </c>
      <c r="K62" s="7">
        <v>60.27</v>
      </c>
      <c r="L62" s="7">
        <v>2.57</v>
      </c>
      <c r="M62" s="7">
        <v>4</v>
      </c>
      <c r="N62" s="7">
        <v>6</v>
      </c>
      <c r="O62" s="7">
        <v>5</v>
      </c>
      <c r="P62" s="7">
        <v>5</v>
      </c>
      <c r="Q62" s="6" t="s">
        <v>39</v>
      </c>
      <c r="R62" s="6" t="s">
        <v>5</v>
      </c>
      <c r="S62" s="6" t="s">
        <v>173</v>
      </c>
      <c r="T62" s="6" t="s">
        <v>41</v>
      </c>
      <c r="U62" s="6" t="s">
        <v>8</v>
      </c>
      <c r="V62" s="8" t="s">
        <v>9</v>
      </c>
    </row>
    <row r="63" spans="2:22" x14ac:dyDescent="0.3">
      <c r="B63" s="1" t="s">
        <v>174</v>
      </c>
      <c r="C63" s="3" t="s">
        <v>174</v>
      </c>
      <c r="D63" s="1" t="s">
        <v>175</v>
      </c>
      <c r="E63" s="3" t="s">
        <v>633</v>
      </c>
      <c r="F63" s="2" t="s">
        <v>12</v>
      </c>
      <c r="G63" s="2" t="s">
        <v>12</v>
      </c>
      <c r="H63" s="3">
        <v>2005</v>
      </c>
      <c r="I63" s="3">
        <v>2005</v>
      </c>
      <c r="J63" s="3">
        <v>8106</v>
      </c>
      <c r="K63" s="3">
        <v>46.3</v>
      </c>
      <c r="L63" s="3">
        <v>11.74</v>
      </c>
      <c r="M63" s="3">
        <v>9</v>
      </c>
      <c r="N63" s="3">
        <v>7</v>
      </c>
      <c r="O63" s="3">
        <v>3</v>
      </c>
      <c r="P63" s="3">
        <v>3</v>
      </c>
      <c r="Q63" s="2" t="s">
        <v>95</v>
      </c>
      <c r="R63" s="2" t="s">
        <v>14</v>
      </c>
      <c r="S63" s="2" t="s">
        <v>15</v>
      </c>
      <c r="T63" s="2" t="s">
        <v>16</v>
      </c>
      <c r="U63" s="2" t="s">
        <v>8</v>
      </c>
      <c r="V63" s="4" t="s">
        <v>36</v>
      </c>
    </row>
    <row r="64" spans="2:22" x14ac:dyDescent="0.3">
      <c r="B64" s="5" t="s">
        <v>176</v>
      </c>
      <c r="C64" s="7" t="s">
        <v>176</v>
      </c>
      <c r="D64" s="5" t="s">
        <v>177</v>
      </c>
      <c r="E64" s="7" t="s">
        <v>634</v>
      </c>
      <c r="F64" s="6" t="s">
        <v>48</v>
      </c>
      <c r="G64" s="6" t="s">
        <v>48</v>
      </c>
      <c r="H64" s="7">
        <v>2019</v>
      </c>
      <c r="I64" s="7">
        <v>2019</v>
      </c>
      <c r="J64" s="7">
        <v>3747</v>
      </c>
      <c r="K64" s="7">
        <v>390.09</v>
      </c>
      <c r="L64" s="7">
        <v>23.43</v>
      </c>
      <c r="M64" s="7">
        <v>7</v>
      </c>
      <c r="N64" s="7">
        <v>5</v>
      </c>
      <c r="O64" s="7">
        <v>6</v>
      </c>
      <c r="P64" s="7">
        <v>4</v>
      </c>
      <c r="Q64" s="6" t="s">
        <v>51</v>
      </c>
      <c r="R64" s="6" t="s">
        <v>154</v>
      </c>
      <c r="S64" s="6" t="s">
        <v>51</v>
      </c>
      <c r="T64" s="6" t="s">
        <v>106</v>
      </c>
      <c r="U64" s="6" t="s">
        <v>8</v>
      </c>
      <c r="V64" s="8" t="s">
        <v>18</v>
      </c>
    </row>
    <row r="65" spans="2:22" x14ac:dyDescent="0.3">
      <c r="B65" s="1" t="s">
        <v>178</v>
      </c>
      <c r="C65" s="3" t="s">
        <v>178</v>
      </c>
      <c r="D65" s="1" t="s">
        <v>179</v>
      </c>
      <c r="E65" s="3" t="s">
        <v>635</v>
      </c>
      <c r="F65" s="2" t="s">
        <v>3</v>
      </c>
      <c r="G65" s="2" t="s">
        <v>3</v>
      </c>
      <c r="H65" s="3">
        <v>1985</v>
      </c>
      <c r="I65" s="3">
        <v>1985</v>
      </c>
      <c r="J65" s="3">
        <v>2623</v>
      </c>
      <c r="K65" s="3">
        <v>127.53</v>
      </c>
      <c r="L65" s="3">
        <v>1.94</v>
      </c>
      <c r="M65" s="3">
        <v>8</v>
      </c>
      <c r="N65" s="3">
        <v>2</v>
      </c>
      <c r="O65" s="3">
        <v>4</v>
      </c>
      <c r="P65" s="3">
        <v>2</v>
      </c>
      <c r="Q65" s="2" t="s">
        <v>39</v>
      </c>
      <c r="R65" s="2" t="s">
        <v>5</v>
      </c>
      <c r="S65" s="2" t="s">
        <v>40</v>
      </c>
      <c r="T65" s="2" t="s">
        <v>78</v>
      </c>
      <c r="U65" s="2" t="s">
        <v>8</v>
      </c>
      <c r="V65" s="4" t="s">
        <v>18</v>
      </c>
    </row>
    <row r="66" spans="2:22" x14ac:dyDescent="0.3">
      <c r="B66" s="5" t="s">
        <v>180</v>
      </c>
      <c r="C66" s="7" t="s">
        <v>180</v>
      </c>
      <c r="D66" s="5" t="s">
        <v>181</v>
      </c>
      <c r="E66" s="7" t="s">
        <v>636</v>
      </c>
      <c r="F66" s="6" t="s">
        <v>12</v>
      </c>
      <c r="G66" s="6" t="s">
        <v>12</v>
      </c>
      <c r="H66" s="7">
        <v>1994</v>
      </c>
      <c r="I66" s="7">
        <v>1994</v>
      </c>
      <c r="J66" s="7">
        <v>4384</v>
      </c>
      <c r="K66" s="7">
        <v>396.04</v>
      </c>
      <c r="L66" s="7">
        <v>19.8</v>
      </c>
      <c r="M66" s="7">
        <v>9</v>
      </c>
      <c r="N66" s="7">
        <v>6</v>
      </c>
      <c r="O66" s="7">
        <v>8</v>
      </c>
      <c r="P66" s="7">
        <v>3</v>
      </c>
      <c r="Q66" s="6" t="s">
        <v>13</v>
      </c>
      <c r="R66" s="6" t="s">
        <v>152</v>
      </c>
      <c r="S66" s="6" t="s">
        <v>56</v>
      </c>
      <c r="T66" s="6" t="s">
        <v>16</v>
      </c>
      <c r="U66" s="6" t="s">
        <v>42</v>
      </c>
      <c r="V66" s="8" t="s">
        <v>18</v>
      </c>
    </row>
    <row r="67" spans="2:22" x14ac:dyDescent="0.3">
      <c r="B67" s="1" t="s">
        <v>182</v>
      </c>
      <c r="C67" s="3" t="s">
        <v>182</v>
      </c>
      <c r="D67" s="1" t="s">
        <v>183</v>
      </c>
      <c r="E67" s="3" t="s">
        <v>637</v>
      </c>
      <c r="F67" s="2" t="s">
        <v>24</v>
      </c>
      <c r="G67" s="2" t="s">
        <v>24</v>
      </c>
      <c r="H67" s="3">
        <v>1999</v>
      </c>
      <c r="I67" s="3">
        <v>1999</v>
      </c>
      <c r="J67" s="3">
        <v>9799</v>
      </c>
      <c r="K67" s="3">
        <v>376.99</v>
      </c>
      <c r="L67" s="3">
        <v>8.1300000000000008</v>
      </c>
      <c r="M67" s="3">
        <v>8</v>
      </c>
      <c r="N67" s="3">
        <v>4</v>
      </c>
      <c r="O67" s="3">
        <v>6</v>
      </c>
      <c r="P67" s="3">
        <v>2</v>
      </c>
      <c r="Q67" s="2" t="s">
        <v>25</v>
      </c>
      <c r="R67" s="2" t="s">
        <v>26</v>
      </c>
      <c r="S67" s="2" t="s">
        <v>27</v>
      </c>
      <c r="T67" s="2" t="s">
        <v>28</v>
      </c>
      <c r="U67" s="2" t="s">
        <v>17</v>
      </c>
      <c r="V67" s="4" t="s">
        <v>18</v>
      </c>
    </row>
    <row r="68" spans="2:22" x14ac:dyDescent="0.3">
      <c r="B68" s="5" t="s">
        <v>184</v>
      </c>
      <c r="C68" s="7" t="s">
        <v>184</v>
      </c>
      <c r="D68" s="5" t="s">
        <v>185</v>
      </c>
      <c r="E68" s="7" t="s">
        <v>638</v>
      </c>
      <c r="F68" s="6" t="s">
        <v>3</v>
      </c>
      <c r="G68" s="6" t="s">
        <v>3</v>
      </c>
      <c r="H68" s="7">
        <v>2018</v>
      </c>
      <c r="I68" s="7">
        <v>2018</v>
      </c>
      <c r="J68" s="7">
        <v>4152</v>
      </c>
      <c r="K68" s="7">
        <v>22.67</v>
      </c>
      <c r="L68" s="7">
        <v>10.57</v>
      </c>
      <c r="M68" s="7">
        <v>5</v>
      </c>
      <c r="N68" s="7">
        <v>7</v>
      </c>
      <c r="O68" s="7">
        <v>7</v>
      </c>
      <c r="P68" s="7">
        <v>6</v>
      </c>
      <c r="Q68" s="6" t="s">
        <v>4</v>
      </c>
      <c r="R68" s="6" t="s">
        <v>157</v>
      </c>
      <c r="S68" s="6" t="s">
        <v>6</v>
      </c>
      <c r="T68" s="6" t="s">
        <v>41</v>
      </c>
      <c r="U68" s="6" t="s">
        <v>17</v>
      </c>
      <c r="V68" s="8" t="s">
        <v>9</v>
      </c>
    </row>
    <row r="69" spans="2:22" x14ac:dyDescent="0.3">
      <c r="B69" s="1" t="s">
        <v>186</v>
      </c>
      <c r="C69" s="3" t="s">
        <v>186</v>
      </c>
      <c r="D69" s="1" t="s">
        <v>187</v>
      </c>
      <c r="E69" s="3" t="s">
        <v>639</v>
      </c>
      <c r="F69" s="2" t="s">
        <v>24</v>
      </c>
      <c r="G69" s="2" t="s">
        <v>24</v>
      </c>
      <c r="H69" s="3">
        <v>2017</v>
      </c>
      <c r="I69" s="3">
        <v>2017</v>
      </c>
      <c r="J69" s="3">
        <v>7191</v>
      </c>
      <c r="K69" s="3">
        <v>321.04000000000002</v>
      </c>
      <c r="L69" s="3">
        <v>4.8899999999999997</v>
      </c>
      <c r="M69" s="3">
        <v>7</v>
      </c>
      <c r="N69" s="3">
        <v>2</v>
      </c>
      <c r="O69" s="3">
        <v>6</v>
      </c>
      <c r="P69" s="3">
        <v>4</v>
      </c>
      <c r="Q69" s="2" t="s">
        <v>25</v>
      </c>
      <c r="R69" s="2" t="s">
        <v>26</v>
      </c>
      <c r="S69" s="2" t="s">
        <v>67</v>
      </c>
      <c r="T69" s="2" t="s">
        <v>16</v>
      </c>
      <c r="U69" s="2" t="s">
        <v>29</v>
      </c>
      <c r="V69" s="4" t="s">
        <v>18</v>
      </c>
    </row>
    <row r="70" spans="2:22" x14ac:dyDescent="0.3">
      <c r="B70" s="5" t="s">
        <v>188</v>
      </c>
      <c r="C70" s="7" t="s">
        <v>188</v>
      </c>
      <c r="D70" s="5" t="s">
        <v>189</v>
      </c>
      <c r="E70" s="7" t="s">
        <v>640</v>
      </c>
      <c r="F70" s="6" t="s">
        <v>81</v>
      </c>
      <c r="G70" s="6" t="s">
        <v>81</v>
      </c>
      <c r="H70" s="7">
        <v>2015</v>
      </c>
      <c r="I70" s="7">
        <v>2015</v>
      </c>
      <c r="J70" s="7">
        <v>651</v>
      </c>
      <c r="K70" s="7">
        <v>232.86</v>
      </c>
      <c r="L70" s="7">
        <v>0.63</v>
      </c>
      <c r="M70" s="7">
        <v>6</v>
      </c>
      <c r="N70" s="7">
        <v>4</v>
      </c>
      <c r="O70" s="7">
        <v>5</v>
      </c>
      <c r="P70" s="7">
        <v>2</v>
      </c>
      <c r="Q70" s="6" t="s">
        <v>190</v>
      </c>
      <c r="R70" s="6" t="s">
        <v>83</v>
      </c>
      <c r="S70" s="6" t="s">
        <v>145</v>
      </c>
      <c r="T70" s="6" t="s">
        <v>90</v>
      </c>
      <c r="U70" s="6" t="s">
        <v>8</v>
      </c>
      <c r="V70" s="8" t="s">
        <v>18</v>
      </c>
    </row>
    <row r="71" spans="2:22" x14ac:dyDescent="0.3">
      <c r="B71" s="1" t="s">
        <v>191</v>
      </c>
      <c r="C71" s="3" t="s">
        <v>191</v>
      </c>
      <c r="D71" s="1" t="s">
        <v>23</v>
      </c>
      <c r="E71" s="3" t="s">
        <v>594</v>
      </c>
      <c r="F71" s="2" t="s">
        <v>81</v>
      </c>
      <c r="G71" s="2" t="s">
        <v>81</v>
      </c>
      <c r="H71" s="3">
        <v>2020</v>
      </c>
      <c r="I71" s="3">
        <v>2020</v>
      </c>
      <c r="J71" s="3">
        <v>7292</v>
      </c>
      <c r="K71" s="3">
        <v>382.4</v>
      </c>
      <c r="L71" s="3">
        <v>24.19</v>
      </c>
      <c r="M71" s="3">
        <v>5</v>
      </c>
      <c r="N71" s="3">
        <v>4</v>
      </c>
      <c r="O71" s="3">
        <v>7</v>
      </c>
      <c r="P71" s="3">
        <v>3</v>
      </c>
      <c r="Q71" s="2" t="s">
        <v>103</v>
      </c>
      <c r="R71" s="2" t="s">
        <v>88</v>
      </c>
      <c r="S71" s="2" t="s">
        <v>145</v>
      </c>
      <c r="T71" s="2" t="s">
        <v>84</v>
      </c>
      <c r="U71" s="2" t="s">
        <v>8</v>
      </c>
      <c r="V71" s="4" t="s">
        <v>18</v>
      </c>
    </row>
    <row r="72" spans="2:22" x14ac:dyDescent="0.3">
      <c r="B72" s="5" t="s">
        <v>192</v>
      </c>
      <c r="C72" s="7" t="s">
        <v>192</v>
      </c>
      <c r="D72" s="5" t="s">
        <v>64</v>
      </c>
      <c r="E72" s="7" t="s">
        <v>601</v>
      </c>
      <c r="F72" s="6" t="s">
        <v>3</v>
      </c>
      <c r="G72" s="6" t="s">
        <v>3</v>
      </c>
      <c r="H72" s="7">
        <v>2015</v>
      </c>
      <c r="I72" s="7">
        <v>2015</v>
      </c>
      <c r="J72" s="7">
        <v>274</v>
      </c>
      <c r="K72" s="7">
        <v>280.60000000000002</v>
      </c>
      <c r="L72" s="7">
        <v>7.46</v>
      </c>
      <c r="M72" s="7">
        <v>4</v>
      </c>
      <c r="N72" s="7">
        <v>3</v>
      </c>
      <c r="O72" s="7">
        <v>3</v>
      </c>
      <c r="P72" s="7">
        <v>5</v>
      </c>
      <c r="Q72" s="6" t="s">
        <v>4</v>
      </c>
      <c r="R72" s="6" t="s">
        <v>115</v>
      </c>
      <c r="S72" s="6" t="s">
        <v>40</v>
      </c>
      <c r="T72" s="6" t="s">
        <v>78</v>
      </c>
      <c r="U72" s="6" t="s">
        <v>42</v>
      </c>
      <c r="V72" s="8" t="s">
        <v>9</v>
      </c>
    </row>
    <row r="73" spans="2:22" x14ac:dyDescent="0.3">
      <c r="B73" s="1" t="s">
        <v>193</v>
      </c>
      <c r="C73" s="3" t="s">
        <v>193</v>
      </c>
      <c r="D73" s="1" t="s">
        <v>194</v>
      </c>
      <c r="E73" s="3" t="s">
        <v>641</v>
      </c>
      <c r="F73" s="2" t="s">
        <v>24</v>
      </c>
      <c r="G73" s="2" t="s">
        <v>24</v>
      </c>
      <c r="H73" s="3">
        <v>2009</v>
      </c>
      <c r="I73" s="3">
        <v>2009</v>
      </c>
      <c r="J73" s="3">
        <v>9081</v>
      </c>
      <c r="K73" s="3">
        <v>80.87</v>
      </c>
      <c r="L73" s="3">
        <v>23.03</v>
      </c>
      <c r="M73" s="3">
        <v>5</v>
      </c>
      <c r="N73" s="3">
        <v>6</v>
      </c>
      <c r="O73" s="3">
        <v>7</v>
      </c>
      <c r="P73" s="3">
        <v>7</v>
      </c>
      <c r="Q73" s="2" t="s">
        <v>141</v>
      </c>
      <c r="R73" s="2" t="s">
        <v>195</v>
      </c>
      <c r="S73" s="2" t="s">
        <v>67</v>
      </c>
      <c r="T73" s="2" t="s">
        <v>68</v>
      </c>
      <c r="U73" s="2" t="s">
        <v>42</v>
      </c>
      <c r="V73" s="4" t="s">
        <v>9</v>
      </c>
    </row>
    <row r="74" spans="2:22" x14ac:dyDescent="0.3">
      <c r="B74" s="5" t="s">
        <v>196</v>
      </c>
      <c r="C74" s="7" t="s">
        <v>196</v>
      </c>
      <c r="D74" s="5" t="s">
        <v>197</v>
      </c>
      <c r="E74" s="7" t="s">
        <v>642</v>
      </c>
      <c r="F74" s="6" t="s">
        <v>12</v>
      </c>
      <c r="G74" s="6" t="s">
        <v>12</v>
      </c>
      <c r="H74" s="7">
        <v>1998</v>
      </c>
      <c r="I74" s="7">
        <v>1998</v>
      </c>
      <c r="J74" s="7">
        <v>4941</v>
      </c>
      <c r="K74" s="7">
        <v>420.36</v>
      </c>
      <c r="L74" s="7">
        <v>8.66</v>
      </c>
      <c r="M74" s="7">
        <v>8</v>
      </c>
      <c r="N74" s="7">
        <v>7</v>
      </c>
      <c r="O74" s="7">
        <v>6</v>
      </c>
      <c r="P74" s="7">
        <v>3</v>
      </c>
      <c r="Q74" s="6" t="s">
        <v>13</v>
      </c>
      <c r="R74" s="6" t="s">
        <v>73</v>
      </c>
      <c r="S74" s="6" t="s">
        <v>34</v>
      </c>
      <c r="T74" s="6" t="s">
        <v>57</v>
      </c>
      <c r="U74" s="6" t="s">
        <v>17</v>
      </c>
      <c r="V74" s="8" t="s">
        <v>18</v>
      </c>
    </row>
    <row r="75" spans="2:22" x14ac:dyDescent="0.3">
      <c r="B75" s="1" t="s">
        <v>198</v>
      </c>
      <c r="C75" s="3" t="s">
        <v>198</v>
      </c>
      <c r="D75" s="1" t="s">
        <v>199</v>
      </c>
      <c r="E75" s="3" t="s">
        <v>643</v>
      </c>
      <c r="F75" s="2" t="s">
        <v>24</v>
      </c>
      <c r="G75" s="2" t="s">
        <v>24</v>
      </c>
      <c r="H75" s="3">
        <v>2016</v>
      </c>
      <c r="I75" s="3">
        <v>2016</v>
      </c>
      <c r="J75" s="3">
        <v>6324</v>
      </c>
      <c r="K75" s="3">
        <v>124.45</v>
      </c>
      <c r="L75" s="3">
        <v>23.94</v>
      </c>
      <c r="M75" s="3">
        <v>7</v>
      </c>
      <c r="N75" s="3">
        <v>2</v>
      </c>
      <c r="O75" s="3">
        <v>5</v>
      </c>
      <c r="P75" s="3">
        <v>7</v>
      </c>
      <c r="Q75" s="2" t="s">
        <v>25</v>
      </c>
      <c r="R75" s="2" t="s">
        <v>131</v>
      </c>
      <c r="S75" s="2" t="s">
        <v>27</v>
      </c>
      <c r="T75" s="2" t="s">
        <v>200</v>
      </c>
      <c r="U75" s="2" t="s">
        <v>17</v>
      </c>
      <c r="V75" s="4" t="s">
        <v>36</v>
      </c>
    </row>
    <row r="76" spans="2:22" x14ac:dyDescent="0.3">
      <c r="B76" s="5" t="s">
        <v>201</v>
      </c>
      <c r="C76" s="7" t="s">
        <v>201</v>
      </c>
      <c r="D76" s="5" t="s">
        <v>202</v>
      </c>
      <c r="E76" s="7" t="s">
        <v>644</v>
      </c>
      <c r="F76" s="6" t="s">
        <v>48</v>
      </c>
      <c r="G76" s="6" t="s">
        <v>48</v>
      </c>
      <c r="H76" s="7">
        <v>2001</v>
      </c>
      <c r="I76" s="7">
        <v>2001</v>
      </c>
      <c r="J76" s="7">
        <v>1694</v>
      </c>
      <c r="K76" s="7">
        <v>438.35</v>
      </c>
      <c r="L76" s="7">
        <v>9.08</v>
      </c>
      <c r="M76" s="7">
        <v>7</v>
      </c>
      <c r="N76" s="7">
        <v>2</v>
      </c>
      <c r="O76" s="7">
        <v>7</v>
      </c>
      <c r="P76" s="7">
        <v>5</v>
      </c>
      <c r="Q76" s="6" t="s">
        <v>49</v>
      </c>
      <c r="R76" s="6" t="s">
        <v>14</v>
      </c>
      <c r="S76" s="6" t="s">
        <v>89</v>
      </c>
      <c r="T76" s="6" t="s">
        <v>100</v>
      </c>
      <c r="U76" s="6" t="s">
        <v>8</v>
      </c>
      <c r="V76" s="8" t="s">
        <v>18</v>
      </c>
    </row>
    <row r="77" spans="2:22" x14ac:dyDescent="0.3">
      <c r="B77" s="1" t="s">
        <v>203</v>
      </c>
      <c r="C77" s="3" t="s">
        <v>203</v>
      </c>
      <c r="D77" s="1" t="s">
        <v>204</v>
      </c>
      <c r="E77" s="3" t="s">
        <v>645</v>
      </c>
      <c r="F77" s="2" t="s">
        <v>48</v>
      </c>
      <c r="G77" s="2" t="s">
        <v>48</v>
      </c>
      <c r="H77" s="3">
        <v>2005</v>
      </c>
      <c r="I77" s="3">
        <v>2005</v>
      </c>
      <c r="J77" s="3">
        <v>1365</v>
      </c>
      <c r="K77" s="3">
        <v>427.36</v>
      </c>
      <c r="L77" s="3">
        <v>24.92</v>
      </c>
      <c r="M77" s="3">
        <v>9</v>
      </c>
      <c r="N77" s="3">
        <v>6</v>
      </c>
      <c r="O77" s="3">
        <v>6</v>
      </c>
      <c r="P77" s="3">
        <v>4</v>
      </c>
      <c r="Q77" s="2" t="s">
        <v>121</v>
      </c>
      <c r="R77" s="2" t="s">
        <v>50</v>
      </c>
      <c r="S77" s="2" t="s">
        <v>61</v>
      </c>
      <c r="T77" s="2" t="s">
        <v>100</v>
      </c>
      <c r="U77" s="2" t="s">
        <v>42</v>
      </c>
      <c r="V77" s="4" t="s">
        <v>18</v>
      </c>
    </row>
    <row r="78" spans="2:22" x14ac:dyDescent="0.3">
      <c r="B78" s="5" t="s">
        <v>205</v>
      </c>
      <c r="C78" s="7" t="s">
        <v>205</v>
      </c>
      <c r="D78" s="5" t="s">
        <v>206</v>
      </c>
      <c r="E78" s="7" t="s">
        <v>646</v>
      </c>
      <c r="F78" s="6" t="s">
        <v>12</v>
      </c>
      <c r="G78" s="6" t="s">
        <v>12</v>
      </c>
      <c r="H78" s="7">
        <v>2020</v>
      </c>
      <c r="I78" s="7">
        <v>2020</v>
      </c>
      <c r="J78" s="7">
        <v>1696</v>
      </c>
      <c r="K78" s="7">
        <v>227.4</v>
      </c>
      <c r="L78" s="7">
        <v>7.92</v>
      </c>
      <c r="M78" s="7">
        <v>9</v>
      </c>
      <c r="N78" s="7">
        <v>4</v>
      </c>
      <c r="O78" s="7">
        <v>3</v>
      </c>
      <c r="P78" s="7">
        <v>2</v>
      </c>
      <c r="Q78" s="6" t="s">
        <v>32</v>
      </c>
      <c r="R78" s="6" t="s">
        <v>152</v>
      </c>
      <c r="S78" s="6" t="s">
        <v>34</v>
      </c>
      <c r="T78" s="6" t="s">
        <v>57</v>
      </c>
      <c r="U78" s="6" t="s">
        <v>42</v>
      </c>
      <c r="V78" s="8" t="s">
        <v>18</v>
      </c>
    </row>
    <row r="79" spans="2:22" x14ac:dyDescent="0.3">
      <c r="B79" s="1" t="s">
        <v>207</v>
      </c>
      <c r="C79" s="3" t="s">
        <v>207</v>
      </c>
      <c r="D79" s="1" t="s">
        <v>208</v>
      </c>
      <c r="E79" s="3" t="s">
        <v>647</v>
      </c>
      <c r="F79" s="2" t="s">
        <v>81</v>
      </c>
      <c r="G79" s="2" t="s">
        <v>81</v>
      </c>
      <c r="H79" s="3">
        <v>2016</v>
      </c>
      <c r="I79" s="3">
        <v>2016</v>
      </c>
      <c r="J79" s="3">
        <v>3000</v>
      </c>
      <c r="K79" s="3">
        <v>93.29</v>
      </c>
      <c r="L79" s="3">
        <v>14.14</v>
      </c>
      <c r="M79" s="3">
        <v>4</v>
      </c>
      <c r="N79" s="3">
        <v>6</v>
      </c>
      <c r="O79" s="3">
        <v>6</v>
      </c>
      <c r="P79" s="3">
        <v>6</v>
      </c>
      <c r="Q79" s="2" t="s">
        <v>144</v>
      </c>
      <c r="R79" s="2" t="s">
        <v>88</v>
      </c>
      <c r="S79" s="2" t="s">
        <v>209</v>
      </c>
      <c r="T79" s="2" t="s">
        <v>111</v>
      </c>
      <c r="U79" s="2" t="s">
        <v>17</v>
      </c>
      <c r="V79" s="4" t="s">
        <v>9</v>
      </c>
    </row>
    <row r="80" spans="2:22" x14ac:dyDescent="0.3">
      <c r="B80" s="5" t="s">
        <v>210</v>
      </c>
      <c r="C80" s="7" t="s">
        <v>210</v>
      </c>
      <c r="D80" s="5" t="s">
        <v>211</v>
      </c>
      <c r="E80" s="7" t="s">
        <v>648</v>
      </c>
      <c r="F80" s="6" t="s">
        <v>12</v>
      </c>
      <c r="G80" s="6" t="s">
        <v>12</v>
      </c>
      <c r="H80" s="7">
        <v>2009</v>
      </c>
      <c r="I80" s="7">
        <v>2009</v>
      </c>
      <c r="J80" s="7">
        <v>4762</v>
      </c>
      <c r="K80" s="7">
        <v>342.03</v>
      </c>
      <c r="L80" s="7">
        <v>20.36</v>
      </c>
      <c r="M80" s="7">
        <v>5</v>
      </c>
      <c r="N80" s="7">
        <v>2</v>
      </c>
      <c r="O80" s="7">
        <v>6</v>
      </c>
      <c r="P80" s="7">
        <v>4</v>
      </c>
      <c r="Q80" s="6" t="s">
        <v>55</v>
      </c>
      <c r="R80" s="6" t="s">
        <v>14</v>
      </c>
      <c r="S80" s="6" t="s">
        <v>212</v>
      </c>
      <c r="T80" s="6" t="s">
        <v>57</v>
      </c>
      <c r="U80" s="6" t="s">
        <v>17</v>
      </c>
      <c r="V80" s="8" t="s">
        <v>18</v>
      </c>
    </row>
    <row r="81" spans="2:22" x14ac:dyDescent="0.3">
      <c r="B81" s="1" t="s">
        <v>213</v>
      </c>
      <c r="C81" s="3" t="s">
        <v>213</v>
      </c>
      <c r="D81" s="1" t="s">
        <v>214</v>
      </c>
      <c r="E81" s="3" t="s">
        <v>649</v>
      </c>
      <c r="F81" s="2" t="s">
        <v>81</v>
      </c>
      <c r="G81" s="2" t="s">
        <v>81</v>
      </c>
      <c r="H81" s="3">
        <v>1986</v>
      </c>
      <c r="I81" s="3">
        <v>1986</v>
      </c>
      <c r="J81" s="3">
        <v>3936</v>
      </c>
      <c r="K81" s="3">
        <v>196.87</v>
      </c>
      <c r="L81" s="3">
        <v>11.98</v>
      </c>
      <c r="M81" s="3">
        <v>6</v>
      </c>
      <c r="N81" s="3">
        <v>6</v>
      </c>
      <c r="O81" s="3">
        <v>5</v>
      </c>
      <c r="P81" s="3">
        <v>7</v>
      </c>
      <c r="Q81" s="2" t="s">
        <v>103</v>
      </c>
      <c r="R81" s="2" t="s">
        <v>83</v>
      </c>
      <c r="S81" s="2" t="s">
        <v>145</v>
      </c>
      <c r="T81" s="2" t="s">
        <v>166</v>
      </c>
      <c r="U81" s="2" t="s">
        <v>8</v>
      </c>
      <c r="V81" s="4" t="s">
        <v>9</v>
      </c>
    </row>
    <row r="82" spans="2:22" x14ac:dyDescent="0.3">
      <c r="B82" s="5" t="s">
        <v>215</v>
      </c>
      <c r="C82" s="7" t="s">
        <v>215</v>
      </c>
      <c r="D82" s="5" t="s">
        <v>216</v>
      </c>
      <c r="E82" s="7" t="s">
        <v>650</v>
      </c>
      <c r="F82" s="6" t="s">
        <v>81</v>
      </c>
      <c r="G82" s="6" t="s">
        <v>81</v>
      </c>
      <c r="H82" s="7">
        <v>1998</v>
      </c>
      <c r="I82" s="7">
        <v>1998</v>
      </c>
      <c r="J82" s="7">
        <v>3820</v>
      </c>
      <c r="K82" s="7">
        <v>307.45999999999998</v>
      </c>
      <c r="L82" s="7">
        <v>4.2699999999999996</v>
      </c>
      <c r="M82" s="7">
        <v>6</v>
      </c>
      <c r="N82" s="7">
        <v>3</v>
      </c>
      <c r="O82" s="7">
        <v>8</v>
      </c>
      <c r="P82" s="7">
        <v>3</v>
      </c>
      <c r="Q82" s="6" t="s">
        <v>82</v>
      </c>
      <c r="R82" s="6" t="s">
        <v>139</v>
      </c>
      <c r="S82" s="6" t="s">
        <v>209</v>
      </c>
      <c r="T82" s="6" t="s">
        <v>84</v>
      </c>
      <c r="U82" s="6" t="s">
        <v>8</v>
      </c>
      <c r="V82" s="8" t="s">
        <v>18</v>
      </c>
    </row>
    <row r="83" spans="2:22" x14ac:dyDescent="0.3">
      <c r="B83" s="1" t="s">
        <v>217</v>
      </c>
      <c r="C83" s="3" t="s">
        <v>217</v>
      </c>
      <c r="D83" s="1" t="s">
        <v>134</v>
      </c>
      <c r="E83" s="3" t="s">
        <v>619</v>
      </c>
      <c r="F83" s="2" t="s">
        <v>48</v>
      </c>
      <c r="G83" s="2" t="s">
        <v>48</v>
      </c>
      <c r="H83" s="3">
        <v>2003</v>
      </c>
      <c r="I83" s="3">
        <v>2003</v>
      </c>
      <c r="J83" s="3">
        <v>2203</v>
      </c>
      <c r="K83" s="3">
        <v>54.17</v>
      </c>
      <c r="L83" s="3">
        <v>19.91</v>
      </c>
      <c r="M83" s="3">
        <v>6</v>
      </c>
      <c r="N83" s="3">
        <v>4</v>
      </c>
      <c r="O83" s="3">
        <v>8</v>
      </c>
      <c r="P83" s="3">
        <v>5</v>
      </c>
      <c r="Q83" s="2" t="s">
        <v>60</v>
      </c>
      <c r="R83" s="2" t="s">
        <v>14</v>
      </c>
      <c r="S83" s="2" t="s">
        <v>218</v>
      </c>
      <c r="T83" s="2" t="s">
        <v>52</v>
      </c>
      <c r="U83" s="2" t="s">
        <v>42</v>
      </c>
      <c r="V83" s="4" t="s">
        <v>18</v>
      </c>
    </row>
    <row r="84" spans="2:22" x14ac:dyDescent="0.3">
      <c r="B84" s="5" t="s">
        <v>219</v>
      </c>
      <c r="C84" s="7" t="s">
        <v>219</v>
      </c>
      <c r="D84" s="5" t="s">
        <v>220</v>
      </c>
      <c r="E84" s="7" t="s">
        <v>651</v>
      </c>
      <c r="F84" s="6" t="s">
        <v>3</v>
      </c>
      <c r="G84" s="6" t="s">
        <v>3</v>
      </c>
      <c r="H84" s="7">
        <v>2001</v>
      </c>
      <c r="I84" s="7">
        <v>2001</v>
      </c>
      <c r="J84" s="7">
        <v>1936</v>
      </c>
      <c r="K84" s="7">
        <v>239.48</v>
      </c>
      <c r="L84" s="7">
        <v>2.93</v>
      </c>
      <c r="M84" s="7">
        <v>4</v>
      </c>
      <c r="N84" s="7">
        <v>3</v>
      </c>
      <c r="O84" s="7">
        <v>4</v>
      </c>
      <c r="P84" s="7">
        <v>7</v>
      </c>
      <c r="Q84" s="6" t="s">
        <v>39</v>
      </c>
      <c r="R84" s="6" t="s">
        <v>157</v>
      </c>
      <c r="S84" s="6" t="s">
        <v>6</v>
      </c>
      <c r="T84" s="6" t="s">
        <v>21</v>
      </c>
      <c r="U84" s="6" t="s">
        <v>8</v>
      </c>
      <c r="V84" s="8" t="s">
        <v>9</v>
      </c>
    </row>
    <row r="85" spans="2:22" x14ac:dyDescent="0.3">
      <c r="B85" s="1" t="s">
        <v>221</v>
      </c>
      <c r="C85" s="3" t="s">
        <v>221</v>
      </c>
      <c r="D85" s="1" t="s">
        <v>222</v>
      </c>
      <c r="E85" s="3" t="s">
        <v>652</v>
      </c>
      <c r="F85" s="2" t="s">
        <v>3</v>
      </c>
      <c r="G85" s="2" t="s">
        <v>3</v>
      </c>
      <c r="H85" s="3">
        <v>1996</v>
      </c>
      <c r="I85" s="3">
        <v>1996</v>
      </c>
      <c r="J85" s="3">
        <v>9627</v>
      </c>
      <c r="K85" s="3">
        <v>196.7</v>
      </c>
      <c r="L85" s="3">
        <v>14.43</v>
      </c>
      <c r="M85" s="3">
        <v>9</v>
      </c>
      <c r="N85" s="3">
        <v>4</v>
      </c>
      <c r="O85" s="3">
        <v>3</v>
      </c>
      <c r="P85" s="3">
        <v>7</v>
      </c>
      <c r="Q85" s="2" t="s">
        <v>103</v>
      </c>
      <c r="R85" s="2" t="s">
        <v>5</v>
      </c>
      <c r="S85" s="2" t="s">
        <v>6</v>
      </c>
      <c r="T85" s="2" t="s">
        <v>78</v>
      </c>
      <c r="U85" s="2" t="s">
        <v>29</v>
      </c>
      <c r="V85" s="4" t="s">
        <v>36</v>
      </c>
    </row>
    <row r="86" spans="2:22" x14ac:dyDescent="0.3">
      <c r="B86" s="5" t="s">
        <v>223</v>
      </c>
      <c r="C86" s="7" t="s">
        <v>223</v>
      </c>
      <c r="D86" s="5" t="s">
        <v>224</v>
      </c>
      <c r="E86" s="7" t="s">
        <v>653</v>
      </c>
      <c r="F86" s="6" t="s">
        <v>81</v>
      </c>
      <c r="G86" s="6" t="s">
        <v>81</v>
      </c>
      <c r="H86" s="7">
        <v>1987</v>
      </c>
      <c r="I86" s="7">
        <v>1987</v>
      </c>
      <c r="J86" s="7">
        <v>2340</v>
      </c>
      <c r="K86" s="7">
        <v>32.22</v>
      </c>
      <c r="L86" s="7">
        <v>6.13</v>
      </c>
      <c r="M86" s="7">
        <v>4</v>
      </c>
      <c r="N86" s="7">
        <v>4</v>
      </c>
      <c r="O86" s="7">
        <v>6</v>
      </c>
      <c r="P86" s="7">
        <v>2</v>
      </c>
      <c r="Q86" s="6" t="s">
        <v>87</v>
      </c>
      <c r="R86" s="6" t="s">
        <v>104</v>
      </c>
      <c r="S86" s="6" t="s">
        <v>209</v>
      </c>
      <c r="T86" s="6" t="s">
        <v>90</v>
      </c>
      <c r="U86" s="6" t="s">
        <v>17</v>
      </c>
      <c r="V86" s="8" t="s">
        <v>18</v>
      </c>
    </row>
    <row r="87" spans="2:22" x14ac:dyDescent="0.3">
      <c r="B87" s="1" t="s">
        <v>225</v>
      </c>
      <c r="C87" s="3" t="s">
        <v>225</v>
      </c>
      <c r="D87" s="1" t="s">
        <v>214</v>
      </c>
      <c r="E87" s="3" t="s">
        <v>649</v>
      </c>
      <c r="F87" s="2" t="s">
        <v>48</v>
      </c>
      <c r="G87" s="2" t="s">
        <v>48</v>
      </c>
      <c r="H87" s="3">
        <v>1989</v>
      </c>
      <c r="I87" s="3">
        <v>1989</v>
      </c>
      <c r="J87" s="3">
        <v>6847</v>
      </c>
      <c r="K87" s="3">
        <v>330.91</v>
      </c>
      <c r="L87" s="3">
        <v>23.52</v>
      </c>
      <c r="M87" s="3">
        <v>7</v>
      </c>
      <c r="N87" s="3">
        <v>6</v>
      </c>
      <c r="O87" s="3">
        <v>6</v>
      </c>
      <c r="P87" s="3">
        <v>4</v>
      </c>
      <c r="Q87" s="2" t="s">
        <v>49</v>
      </c>
      <c r="R87" s="2" t="s">
        <v>99</v>
      </c>
      <c r="S87" s="2" t="s">
        <v>218</v>
      </c>
      <c r="T87" s="2" t="s">
        <v>62</v>
      </c>
      <c r="U87" s="2" t="s">
        <v>17</v>
      </c>
      <c r="V87" s="4" t="s">
        <v>36</v>
      </c>
    </row>
    <row r="88" spans="2:22" x14ac:dyDescent="0.3">
      <c r="B88" s="5" t="s">
        <v>226</v>
      </c>
      <c r="C88" s="7" t="s">
        <v>226</v>
      </c>
      <c r="D88" s="5" t="s">
        <v>227</v>
      </c>
      <c r="E88" s="7" t="s">
        <v>654</v>
      </c>
      <c r="F88" s="6" t="s">
        <v>3</v>
      </c>
      <c r="G88" s="6" t="s">
        <v>3</v>
      </c>
      <c r="H88" s="7">
        <v>2014</v>
      </c>
      <c r="I88" s="7">
        <v>2014</v>
      </c>
      <c r="J88" s="7">
        <v>5926</v>
      </c>
      <c r="K88" s="7">
        <v>39.67</v>
      </c>
      <c r="L88" s="7">
        <v>2.31</v>
      </c>
      <c r="M88" s="7">
        <v>6</v>
      </c>
      <c r="N88" s="7">
        <v>3</v>
      </c>
      <c r="O88" s="7">
        <v>3</v>
      </c>
      <c r="P88" s="7">
        <v>5</v>
      </c>
      <c r="Q88" s="6" t="s">
        <v>4</v>
      </c>
      <c r="R88" s="6" t="s">
        <v>115</v>
      </c>
      <c r="S88" s="6" t="s">
        <v>6</v>
      </c>
      <c r="T88" s="6" t="s">
        <v>7</v>
      </c>
      <c r="U88" s="6" t="s">
        <v>42</v>
      </c>
      <c r="V88" s="8" t="s">
        <v>36</v>
      </c>
    </row>
    <row r="89" spans="2:22" x14ac:dyDescent="0.3">
      <c r="B89" s="1" t="s">
        <v>228</v>
      </c>
      <c r="C89" s="3" t="s">
        <v>228</v>
      </c>
      <c r="D89" s="1" t="s">
        <v>98</v>
      </c>
      <c r="E89" s="3" t="s">
        <v>608</v>
      </c>
      <c r="F89" s="2" t="s">
        <v>24</v>
      </c>
      <c r="G89" s="2" t="s">
        <v>24</v>
      </c>
      <c r="H89" s="3">
        <v>1984</v>
      </c>
      <c r="I89" s="3">
        <v>1984</v>
      </c>
      <c r="J89" s="3">
        <v>9130</v>
      </c>
      <c r="K89" s="3">
        <v>111.51</v>
      </c>
      <c r="L89" s="3">
        <v>11.21</v>
      </c>
      <c r="M89" s="3">
        <v>5</v>
      </c>
      <c r="N89" s="3">
        <v>3</v>
      </c>
      <c r="O89" s="3">
        <v>5</v>
      </c>
      <c r="P89" s="3">
        <v>3</v>
      </c>
      <c r="Q89" s="2" t="s">
        <v>65</v>
      </c>
      <c r="R89" s="2" t="s">
        <v>195</v>
      </c>
      <c r="S89" s="2" t="s">
        <v>67</v>
      </c>
      <c r="T89" s="2" t="s">
        <v>200</v>
      </c>
      <c r="U89" s="2" t="s">
        <v>29</v>
      </c>
      <c r="V89" s="4" t="s">
        <v>18</v>
      </c>
    </row>
    <row r="90" spans="2:22" x14ac:dyDescent="0.3">
      <c r="B90" s="5" t="s">
        <v>229</v>
      </c>
      <c r="C90" s="7" t="s">
        <v>229</v>
      </c>
      <c r="D90" s="5" t="s">
        <v>230</v>
      </c>
      <c r="E90" s="7" t="s">
        <v>655</v>
      </c>
      <c r="F90" s="6" t="s">
        <v>12</v>
      </c>
      <c r="G90" s="6" t="s">
        <v>12</v>
      </c>
      <c r="H90" s="7">
        <v>1988</v>
      </c>
      <c r="I90" s="7">
        <v>1988</v>
      </c>
      <c r="J90" s="7">
        <v>293</v>
      </c>
      <c r="K90" s="7">
        <v>185.54</v>
      </c>
      <c r="L90" s="7">
        <v>10.78</v>
      </c>
      <c r="M90" s="7">
        <v>5</v>
      </c>
      <c r="N90" s="7">
        <v>6</v>
      </c>
      <c r="O90" s="7">
        <v>5</v>
      </c>
      <c r="P90" s="7">
        <v>2</v>
      </c>
      <c r="Q90" s="6" t="s">
        <v>95</v>
      </c>
      <c r="R90" s="6" t="s">
        <v>14</v>
      </c>
      <c r="S90" s="6" t="s">
        <v>15</v>
      </c>
      <c r="T90" s="6" t="s">
        <v>16</v>
      </c>
      <c r="U90" s="6" t="s">
        <v>17</v>
      </c>
      <c r="V90" s="8" t="s">
        <v>36</v>
      </c>
    </row>
    <row r="91" spans="2:22" x14ac:dyDescent="0.3">
      <c r="B91" s="1" t="s">
        <v>231</v>
      </c>
      <c r="C91" s="3" t="s">
        <v>231</v>
      </c>
      <c r="D91" s="1" t="s">
        <v>232</v>
      </c>
      <c r="E91" s="3" t="s">
        <v>656</v>
      </c>
      <c r="F91" s="2" t="s">
        <v>81</v>
      </c>
      <c r="G91" s="2" t="s">
        <v>81</v>
      </c>
      <c r="H91" s="3">
        <v>2003</v>
      </c>
      <c r="I91" s="3">
        <v>2003</v>
      </c>
      <c r="J91" s="3">
        <v>8458</v>
      </c>
      <c r="K91" s="3">
        <v>300.89999999999998</v>
      </c>
      <c r="L91" s="3">
        <v>24.96</v>
      </c>
      <c r="M91" s="3">
        <v>7</v>
      </c>
      <c r="N91" s="3">
        <v>6</v>
      </c>
      <c r="O91" s="3">
        <v>4</v>
      </c>
      <c r="P91" s="3">
        <v>6</v>
      </c>
      <c r="Q91" s="2" t="s">
        <v>87</v>
      </c>
      <c r="R91" s="2" t="s">
        <v>139</v>
      </c>
      <c r="S91" s="2" t="s">
        <v>145</v>
      </c>
      <c r="T91" s="2" t="s">
        <v>84</v>
      </c>
      <c r="U91" s="2" t="s">
        <v>8</v>
      </c>
      <c r="V91" s="4" t="s">
        <v>9</v>
      </c>
    </row>
    <row r="92" spans="2:22" x14ac:dyDescent="0.3">
      <c r="B92" s="5" t="s">
        <v>233</v>
      </c>
      <c r="C92" s="7" t="s">
        <v>233</v>
      </c>
      <c r="D92" s="5" t="s">
        <v>234</v>
      </c>
      <c r="E92" s="7" t="s">
        <v>657</v>
      </c>
      <c r="F92" s="6" t="s">
        <v>12</v>
      </c>
      <c r="G92" s="6" t="s">
        <v>12</v>
      </c>
      <c r="H92" s="7">
        <v>2011</v>
      </c>
      <c r="I92" s="7">
        <v>2011</v>
      </c>
      <c r="J92" s="7">
        <v>7317</v>
      </c>
      <c r="K92" s="7">
        <v>46.01</v>
      </c>
      <c r="L92" s="7">
        <v>24.84</v>
      </c>
      <c r="M92" s="7">
        <v>4</v>
      </c>
      <c r="N92" s="7">
        <v>4</v>
      </c>
      <c r="O92" s="7">
        <v>7</v>
      </c>
      <c r="P92" s="7">
        <v>3</v>
      </c>
      <c r="Q92" s="6" t="s">
        <v>235</v>
      </c>
      <c r="R92" s="6" t="s">
        <v>33</v>
      </c>
      <c r="S92" s="6" t="s">
        <v>34</v>
      </c>
      <c r="T92" s="6" t="s">
        <v>57</v>
      </c>
      <c r="U92" s="6" t="s">
        <v>17</v>
      </c>
      <c r="V92" s="8" t="s">
        <v>18</v>
      </c>
    </row>
    <row r="93" spans="2:22" x14ac:dyDescent="0.3">
      <c r="B93" s="1" t="s">
        <v>236</v>
      </c>
      <c r="C93" s="3" t="s">
        <v>236</v>
      </c>
      <c r="D93" s="1" t="s">
        <v>237</v>
      </c>
      <c r="E93" s="3" t="s">
        <v>658</v>
      </c>
      <c r="F93" s="2" t="s">
        <v>81</v>
      </c>
      <c r="G93" s="2" t="s">
        <v>81</v>
      </c>
      <c r="H93" s="3">
        <v>2012</v>
      </c>
      <c r="I93" s="3">
        <v>2012</v>
      </c>
      <c r="J93" s="3">
        <v>9969</v>
      </c>
      <c r="K93" s="3">
        <v>220.8</v>
      </c>
      <c r="L93" s="3">
        <v>7.41</v>
      </c>
      <c r="M93" s="3">
        <v>9</v>
      </c>
      <c r="N93" s="3">
        <v>2</v>
      </c>
      <c r="O93" s="3">
        <v>8</v>
      </c>
      <c r="P93" s="3">
        <v>7</v>
      </c>
      <c r="Q93" s="2" t="s">
        <v>82</v>
      </c>
      <c r="R93" s="2" t="s">
        <v>104</v>
      </c>
      <c r="S93" s="2" t="s">
        <v>145</v>
      </c>
      <c r="T93" s="2" t="s">
        <v>90</v>
      </c>
      <c r="U93" s="2" t="s">
        <v>29</v>
      </c>
      <c r="V93" s="4" t="s">
        <v>18</v>
      </c>
    </row>
    <row r="94" spans="2:22" x14ac:dyDescent="0.3">
      <c r="B94" s="5" t="s">
        <v>238</v>
      </c>
      <c r="C94" s="7" t="s">
        <v>238</v>
      </c>
      <c r="D94" s="5" t="s">
        <v>239</v>
      </c>
      <c r="E94" s="7" t="s">
        <v>659</v>
      </c>
      <c r="F94" s="6" t="s">
        <v>81</v>
      </c>
      <c r="G94" s="6" t="s">
        <v>81</v>
      </c>
      <c r="H94" s="7">
        <v>1986</v>
      </c>
      <c r="I94" s="7">
        <v>1986</v>
      </c>
      <c r="J94" s="7">
        <v>5170</v>
      </c>
      <c r="K94" s="7">
        <v>219.11</v>
      </c>
      <c r="L94" s="7">
        <v>7.96</v>
      </c>
      <c r="M94" s="7">
        <v>9</v>
      </c>
      <c r="N94" s="7">
        <v>4</v>
      </c>
      <c r="O94" s="7">
        <v>5</v>
      </c>
      <c r="P94" s="7">
        <v>3</v>
      </c>
      <c r="Q94" s="6" t="s">
        <v>190</v>
      </c>
      <c r="R94" s="6" t="s">
        <v>83</v>
      </c>
      <c r="S94" s="6" t="s">
        <v>82</v>
      </c>
      <c r="T94" s="6" t="s">
        <v>84</v>
      </c>
      <c r="U94" s="6" t="s">
        <v>8</v>
      </c>
      <c r="V94" s="8" t="s">
        <v>18</v>
      </c>
    </row>
    <row r="95" spans="2:22" x14ac:dyDescent="0.3">
      <c r="B95" s="1" t="s">
        <v>240</v>
      </c>
      <c r="C95" s="3" t="s">
        <v>240</v>
      </c>
      <c r="D95" s="1" t="s">
        <v>241</v>
      </c>
      <c r="E95" s="3" t="s">
        <v>660</v>
      </c>
      <c r="F95" s="2" t="s">
        <v>48</v>
      </c>
      <c r="G95" s="2" t="s">
        <v>48</v>
      </c>
      <c r="H95" s="3">
        <v>1983</v>
      </c>
      <c r="I95" s="3">
        <v>1983</v>
      </c>
      <c r="J95" s="3">
        <v>9658</v>
      </c>
      <c r="K95" s="3">
        <v>478.75</v>
      </c>
      <c r="L95" s="3">
        <v>13.01</v>
      </c>
      <c r="M95" s="3">
        <v>8</v>
      </c>
      <c r="N95" s="3">
        <v>4</v>
      </c>
      <c r="O95" s="3">
        <v>8</v>
      </c>
      <c r="P95" s="3">
        <v>2</v>
      </c>
      <c r="Q95" s="2" t="s">
        <v>121</v>
      </c>
      <c r="R95" s="2" t="s">
        <v>99</v>
      </c>
      <c r="S95" s="2" t="s">
        <v>89</v>
      </c>
      <c r="T95" s="2" t="s">
        <v>106</v>
      </c>
      <c r="U95" s="2" t="s">
        <v>42</v>
      </c>
      <c r="V95" s="4" t="s">
        <v>18</v>
      </c>
    </row>
    <row r="96" spans="2:22" x14ac:dyDescent="0.3">
      <c r="B96" s="5" t="s">
        <v>242</v>
      </c>
      <c r="C96" s="7" t="s">
        <v>242</v>
      </c>
      <c r="D96" s="5" t="s">
        <v>243</v>
      </c>
      <c r="E96" s="7" t="s">
        <v>661</v>
      </c>
      <c r="F96" s="6" t="s">
        <v>48</v>
      </c>
      <c r="G96" s="6" t="s">
        <v>48</v>
      </c>
      <c r="H96" s="7">
        <v>2012</v>
      </c>
      <c r="I96" s="7">
        <v>2012</v>
      </c>
      <c r="J96" s="7">
        <v>3535</v>
      </c>
      <c r="K96" s="7">
        <v>85.82</v>
      </c>
      <c r="L96" s="7">
        <v>19.22</v>
      </c>
      <c r="M96" s="7">
        <v>7</v>
      </c>
      <c r="N96" s="7">
        <v>3</v>
      </c>
      <c r="O96" s="7">
        <v>3</v>
      </c>
      <c r="P96" s="7">
        <v>4</v>
      </c>
      <c r="Q96" s="6" t="s">
        <v>51</v>
      </c>
      <c r="R96" s="6" t="s">
        <v>99</v>
      </c>
      <c r="S96" s="6" t="s">
        <v>61</v>
      </c>
      <c r="T96" s="6" t="s">
        <v>52</v>
      </c>
      <c r="U96" s="6" t="s">
        <v>29</v>
      </c>
      <c r="V96" s="8" t="s">
        <v>36</v>
      </c>
    </row>
    <row r="97" spans="2:22" x14ac:dyDescent="0.3">
      <c r="B97" s="1" t="s">
        <v>244</v>
      </c>
      <c r="C97" s="3" t="s">
        <v>244</v>
      </c>
      <c r="D97" s="1" t="s">
        <v>245</v>
      </c>
      <c r="E97" s="3" t="s">
        <v>662</v>
      </c>
      <c r="F97" s="2" t="s">
        <v>48</v>
      </c>
      <c r="G97" s="2" t="s">
        <v>48</v>
      </c>
      <c r="H97" s="3">
        <v>2015</v>
      </c>
      <c r="I97" s="3">
        <v>2015</v>
      </c>
      <c r="J97" s="3">
        <v>480</v>
      </c>
      <c r="K97" s="3">
        <v>308.41000000000003</v>
      </c>
      <c r="L97" s="3">
        <v>-4.82</v>
      </c>
      <c r="M97" s="3">
        <v>9</v>
      </c>
      <c r="N97" s="3">
        <v>7</v>
      </c>
      <c r="O97" s="3">
        <v>5</v>
      </c>
      <c r="P97" s="3">
        <v>2</v>
      </c>
      <c r="Q97" s="2" t="s">
        <v>60</v>
      </c>
      <c r="R97" s="2" t="s">
        <v>99</v>
      </c>
      <c r="S97" s="2" t="s">
        <v>51</v>
      </c>
      <c r="T97" s="2" t="s">
        <v>52</v>
      </c>
      <c r="U97" s="2" t="s">
        <v>42</v>
      </c>
      <c r="V97" s="4" t="s">
        <v>18</v>
      </c>
    </row>
    <row r="98" spans="2:22" x14ac:dyDescent="0.3">
      <c r="B98" s="5" t="s">
        <v>246</v>
      </c>
      <c r="C98" s="7" t="s">
        <v>246</v>
      </c>
      <c r="D98" s="5" t="s">
        <v>247</v>
      </c>
      <c r="E98" s="7" t="s">
        <v>663</v>
      </c>
      <c r="F98" s="6" t="s">
        <v>81</v>
      </c>
      <c r="G98" s="6" t="s">
        <v>81</v>
      </c>
      <c r="H98" s="7">
        <v>1984</v>
      </c>
      <c r="I98" s="7">
        <v>1984</v>
      </c>
      <c r="J98" s="7">
        <v>2374</v>
      </c>
      <c r="K98" s="7">
        <v>373.07</v>
      </c>
      <c r="L98" s="7">
        <v>-0.28000000000000003</v>
      </c>
      <c r="M98" s="7">
        <v>4</v>
      </c>
      <c r="N98" s="7">
        <v>2</v>
      </c>
      <c r="O98" s="7">
        <v>8</v>
      </c>
      <c r="P98" s="7">
        <v>6</v>
      </c>
      <c r="Q98" s="6" t="s">
        <v>144</v>
      </c>
      <c r="R98" s="6" t="s">
        <v>88</v>
      </c>
      <c r="S98" s="6" t="s">
        <v>145</v>
      </c>
      <c r="T98" s="6" t="s">
        <v>90</v>
      </c>
      <c r="U98" s="6" t="s">
        <v>42</v>
      </c>
      <c r="V98" s="8" t="s">
        <v>18</v>
      </c>
    </row>
    <row r="99" spans="2:22" x14ac:dyDescent="0.3">
      <c r="B99" s="1" t="s">
        <v>248</v>
      </c>
      <c r="C99" s="3" t="s">
        <v>248</v>
      </c>
      <c r="D99" s="1" t="s">
        <v>249</v>
      </c>
      <c r="E99" s="3" t="s">
        <v>664</v>
      </c>
      <c r="F99" s="2" t="s">
        <v>48</v>
      </c>
      <c r="G99" s="2" t="s">
        <v>48</v>
      </c>
      <c r="H99" s="3">
        <v>2018</v>
      </c>
      <c r="I99" s="3">
        <v>2018</v>
      </c>
      <c r="J99" s="3">
        <v>1441</v>
      </c>
      <c r="K99" s="3">
        <v>442.84</v>
      </c>
      <c r="L99" s="3">
        <v>13.21</v>
      </c>
      <c r="M99" s="3">
        <v>5</v>
      </c>
      <c r="N99" s="3">
        <v>3</v>
      </c>
      <c r="O99" s="3">
        <v>7</v>
      </c>
      <c r="P99" s="3">
        <v>2</v>
      </c>
      <c r="Q99" s="2" t="s">
        <v>49</v>
      </c>
      <c r="R99" s="2" t="s">
        <v>99</v>
      </c>
      <c r="S99" s="2" t="s">
        <v>89</v>
      </c>
      <c r="T99" s="2" t="s">
        <v>62</v>
      </c>
      <c r="U99" s="2" t="s">
        <v>17</v>
      </c>
      <c r="V99" s="4" t="s">
        <v>18</v>
      </c>
    </row>
    <row r="100" spans="2:22" x14ac:dyDescent="0.3">
      <c r="B100" s="5" t="s">
        <v>250</v>
      </c>
      <c r="C100" s="7" t="s">
        <v>250</v>
      </c>
      <c r="D100" s="5" t="s">
        <v>224</v>
      </c>
      <c r="E100" s="7" t="s">
        <v>653</v>
      </c>
      <c r="F100" s="6" t="s">
        <v>24</v>
      </c>
      <c r="G100" s="6" t="s">
        <v>24</v>
      </c>
      <c r="H100" s="7">
        <v>2012</v>
      </c>
      <c r="I100" s="7">
        <v>2012</v>
      </c>
      <c r="J100" s="7">
        <v>1914</v>
      </c>
      <c r="K100" s="7">
        <v>179.13</v>
      </c>
      <c r="L100" s="7">
        <v>6.86</v>
      </c>
      <c r="M100" s="7">
        <v>4</v>
      </c>
      <c r="N100" s="7">
        <v>4</v>
      </c>
      <c r="O100" s="7">
        <v>8</v>
      </c>
      <c r="P100" s="7">
        <v>7</v>
      </c>
      <c r="Q100" s="6" t="s">
        <v>65</v>
      </c>
      <c r="R100" s="6" t="s">
        <v>131</v>
      </c>
      <c r="S100" s="6" t="s">
        <v>67</v>
      </c>
      <c r="T100" s="6" t="s">
        <v>16</v>
      </c>
      <c r="U100" s="6" t="s">
        <v>29</v>
      </c>
      <c r="V100" s="8" t="s">
        <v>36</v>
      </c>
    </row>
    <row r="101" spans="2:22" x14ac:dyDescent="0.3">
      <c r="B101" s="1" t="s">
        <v>251</v>
      </c>
      <c r="C101" s="3" t="s">
        <v>251</v>
      </c>
      <c r="D101" s="1" t="s">
        <v>252</v>
      </c>
      <c r="E101" s="3" t="s">
        <v>665</v>
      </c>
      <c r="F101" s="2" t="s">
        <v>24</v>
      </c>
      <c r="G101" s="2" t="s">
        <v>24</v>
      </c>
      <c r="H101" s="3">
        <v>1999</v>
      </c>
      <c r="I101" s="3">
        <v>1999</v>
      </c>
      <c r="J101" s="3">
        <v>3510</v>
      </c>
      <c r="K101" s="3">
        <v>386</v>
      </c>
      <c r="L101" s="3">
        <v>6.41</v>
      </c>
      <c r="M101" s="3">
        <v>6</v>
      </c>
      <c r="N101" s="3">
        <v>4</v>
      </c>
      <c r="O101" s="3">
        <v>5</v>
      </c>
      <c r="P101" s="3">
        <v>2</v>
      </c>
      <c r="Q101" s="2" t="s">
        <v>60</v>
      </c>
      <c r="R101" s="2" t="s">
        <v>131</v>
      </c>
      <c r="S101" s="2" t="s">
        <v>27</v>
      </c>
      <c r="T101" s="2" t="s">
        <v>200</v>
      </c>
      <c r="U101" s="2" t="s">
        <v>29</v>
      </c>
      <c r="V101" s="4" t="s">
        <v>18</v>
      </c>
    </row>
    <row r="102" spans="2:22" x14ac:dyDescent="0.3">
      <c r="B102" s="5" t="s">
        <v>253</v>
      </c>
      <c r="C102" s="7" t="s">
        <v>253</v>
      </c>
      <c r="D102" s="5" t="s">
        <v>254</v>
      </c>
      <c r="E102" s="7" t="s">
        <v>666</v>
      </c>
      <c r="F102" s="6" t="s">
        <v>48</v>
      </c>
      <c r="G102" s="6" t="s">
        <v>48</v>
      </c>
      <c r="H102" s="7">
        <v>2002</v>
      </c>
      <c r="I102" s="7">
        <v>2002</v>
      </c>
      <c r="J102" s="7">
        <v>1230</v>
      </c>
      <c r="K102" s="7">
        <v>204.56</v>
      </c>
      <c r="L102" s="7">
        <v>16.28</v>
      </c>
      <c r="M102" s="7">
        <v>9</v>
      </c>
      <c r="N102" s="7">
        <v>2</v>
      </c>
      <c r="O102" s="7">
        <v>6</v>
      </c>
      <c r="P102" s="7">
        <v>2</v>
      </c>
      <c r="Q102" s="6" t="s">
        <v>121</v>
      </c>
      <c r="R102" s="6" t="s">
        <v>50</v>
      </c>
      <c r="S102" s="6" t="s">
        <v>51</v>
      </c>
      <c r="T102" s="6" t="s">
        <v>62</v>
      </c>
      <c r="U102" s="6" t="s">
        <v>17</v>
      </c>
      <c r="V102" s="8" t="s">
        <v>18</v>
      </c>
    </row>
    <row r="103" spans="2:22" x14ac:dyDescent="0.3">
      <c r="B103" s="1" t="s">
        <v>255</v>
      </c>
      <c r="C103" s="3" t="s">
        <v>255</v>
      </c>
      <c r="D103" s="1" t="s">
        <v>256</v>
      </c>
      <c r="E103" s="3" t="s">
        <v>667</v>
      </c>
      <c r="F103" s="2" t="s">
        <v>12</v>
      </c>
      <c r="G103" s="2" t="s">
        <v>12</v>
      </c>
      <c r="H103" s="3">
        <v>2005</v>
      </c>
      <c r="I103" s="3">
        <v>2005</v>
      </c>
      <c r="J103" s="3">
        <v>391</v>
      </c>
      <c r="K103" s="3">
        <v>483.44</v>
      </c>
      <c r="L103" s="3">
        <v>8.07</v>
      </c>
      <c r="M103" s="3">
        <v>5</v>
      </c>
      <c r="N103" s="3">
        <v>6</v>
      </c>
      <c r="O103" s="3">
        <v>6</v>
      </c>
      <c r="P103" s="3">
        <v>7</v>
      </c>
      <c r="Q103" s="2" t="s">
        <v>32</v>
      </c>
      <c r="R103" s="2" t="s">
        <v>152</v>
      </c>
      <c r="S103" s="2" t="s">
        <v>212</v>
      </c>
      <c r="T103" s="2" t="s">
        <v>35</v>
      </c>
      <c r="U103" s="2" t="s">
        <v>29</v>
      </c>
      <c r="V103" s="4" t="s">
        <v>9</v>
      </c>
    </row>
    <row r="104" spans="2:22" x14ac:dyDescent="0.3">
      <c r="B104" s="5" t="s">
        <v>257</v>
      </c>
      <c r="C104" s="7" t="s">
        <v>257</v>
      </c>
      <c r="D104" s="5" t="s">
        <v>258</v>
      </c>
      <c r="E104" s="7" t="s">
        <v>668</v>
      </c>
      <c r="F104" s="6" t="s">
        <v>12</v>
      </c>
      <c r="G104" s="6" t="s">
        <v>12</v>
      </c>
      <c r="H104" s="7">
        <v>2005</v>
      </c>
      <c r="I104" s="7">
        <v>2005</v>
      </c>
      <c r="J104" s="7">
        <v>5133</v>
      </c>
      <c r="K104" s="7">
        <v>375.44</v>
      </c>
      <c r="L104" s="7">
        <v>16.82</v>
      </c>
      <c r="M104" s="7">
        <v>5</v>
      </c>
      <c r="N104" s="7">
        <v>4</v>
      </c>
      <c r="O104" s="7">
        <v>4</v>
      </c>
      <c r="P104" s="7">
        <v>2</v>
      </c>
      <c r="Q104" s="6" t="s">
        <v>55</v>
      </c>
      <c r="R104" s="6" t="s">
        <v>152</v>
      </c>
      <c r="S104" s="6" t="s">
        <v>56</v>
      </c>
      <c r="T104" s="6" t="s">
        <v>57</v>
      </c>
      <c r="U104" s="6" t="s">
        <v>42</v>
      </c>
      <c r="V104" s="8" t="s">
        <v>36</v>
      </c>
    </row>
    <row r="105" spans="2:22" x14ac:dyDescent="0.3">
      <c r="B105" s="1" t="s">
        <v>259</v>
      </c>
      <c r="C105" s="3" t="s">
        <v>259</v>
      </c>
      <c r="D105" s="1" t="s">
        <v>260</v>
      </c>
      <c r="E105" s="3" t="s">
        <v>669</v>
      </c>
      <c r="F105" s="2" t="s">
        <v>12</v>
      </c>
      <c r="G105" s="2" t="s">
        <v>12</v>
      </c>
      <c r="H105" s="3">
        <v>1989</v>
      </c>
      <c r="I105" s="3">
        <v>1989</v>
      </c>
      <c r="J105" s="3">
        <v>4243</v>
      </c>
      <c r="K105" s="3">
        <v>106.66</v>
      </c>
      <c r="L105" s="3">
        <v>20.93</v>
      </c>
      <c r="M105" s="3">
        <v>8</v>
      </c>
      <c r="N105" s="3">
        <v>3</v>
      </c>
      <c r="O105" s="3">
        <v>8</v>
      </c>
      <c r="P105" s="3">
        <v>2</v>
      </c>
      <c r="Q105" s="2" t="s">
        <v>95</v>
      </c>
      <c r="R105" s="2" t="s">
        <v>73</v>
      </c>
      <c r="S105" s="2" t="s">
        <v>212</v>
      </c>
      <c r="T105" s="2" t="s">
        <v>74</v>
      </c>
      <c r="U105" s="2" t="s">
        <v>42</v>
      </c>
      <c r="V105" s="4" t="s">
        <v>18</v>
      </c>
    </row>
    <row r="106" spans="2:22" x14ac:dyDescent="0.3">
      <c r="B106" s="5" t="s">
        <v>261</v>
      </c>
      <c r="C106" s="7" t="s">
        <v>261</v>
      </c>
      <c r="D106" s="5" t="s">
        <v>262</v>
      </c>
      <c r="E106" s="7" t="s">
        <v>670</v>
      </c>
      <c r="F106" s="6" t="s">
        <v>81</v>
      </c>
      <c r="G106" s="6" t="s">
        <v>81</v>
      </c>
      <c r="H106" s="7">
        <v>1984</v>
      </c>
      <c r="I106" s="7">
        <v>1984</v>
      </c>
      <c r="J106" s="7">
        <v>7732</v>
      </c>
      <c r="K106" s="7">
        <v>226.68</v>
      </c>
      <c r="L106" s="7">
        <v>-3.87</v>
      </c>
      <c r="M106" s="7">
        <v>6</v>
      </c>
      <c r="N106" s="7">
        <v>4</v>
      </c>
      <c r="O106" s="7">
        <v>7</v>
      </c>
      <c r="P106" s="7">
        <v>2</v>
      </c>
      <c r="Q106" s="6" t="s">
        <v>103</v>
      </c>
      <c r="R106" s="6" t="s">
        <v>83</v>
      </c>
      <c r="S106" s="6" t="s">
        <v>89</v>
      </c>
      <c r="T106" s="6" t="s">
        <v>90</v>
      </c>
      <c r="U106" s="6" t="s">
        <v>17</v>
      </c>
      <c r="V106" s="8" t="s">
        <v>18</v>
      </c>
    </row>
    <row r="107" spans="2:22" x14ac:dyDescent="0.3">
      <c r="B107" s="1" t="s">
        <v>263</v>
      </c>
      <c r="C107" s="3" t="s">
        <v>263</v>
      </c>
      <c r="D107" s="1" t="s">
        <v>256</v>
      </c>
      <c r="E107" s="3" t="s">
        <v>667</v>
      </c>
      <c r="F107" s="2" t="s">
        <v>12</v>
      </c>
      <c r="G107" s="2" t="s">
        <v>12</v>
      </c>
      <c r="H107" s="3">
        <v>1985</v>
      </c>
      <c r="I107" s="3">
        <v>1985</v>
      </c>
      <c r="J107" s="3">
        <v>9783</v>
      </c>
      <c r="K107" s="3">
        <v>258.45999999999998</v>
      </c>
      <c r="L107" s="3">
        <v>10.039999999999999</v>
      </c>
      <c r="M107" s="3">
        <v>7</v>
      </c>
      <c r="N107" s="3">
        <v>6</v>
      </c>
      <c r="O107" s="3">
        <v>7</v>
      </c>
      <c r="P107" s="3">
        <v>7</v>
      </c>
      <c r="Q107" s="2" t="s">
        <v>235</v>
      </c>
      <c r="R107" s="2" t="s">
        <v>73</v>
      </c>
      <c r="S107" s="2" t="s">
        <v>56</v>
      </c>
      <c r="T107" s="2" t="s">
        <v>57</v>
      </c>
      <c r="U107" s="2" t="s">
        <v>17</v>
      </c>
      <c r="V107" s="4" t="s">
        <v>36</v>
      </c>
    </row>
    <row r="108" spans="2:22" x14ac:dyDescent="0.3">
      <c r="B108" s="5" t="s">
        <v>264</v>
      </c>
      <c r="C108" s="7" t="s">
        <v>264</v>
      </c>
      <c r="D108" s="5" t="s">
        <v>220</v>
      </c>
      <c r="E108" s="7" t="s">
        <v>651</v>
      </c>
      <c r="F108" s="6" t="s">
        <v>12</v>
      </c>
      <c r="G108" s="6" t="s">
        <v>12</v>
      </c>
      <c r="H108" s="7">
        <v>2001</v>
      </c>
      <c r="I108" s="7">
        <v>2001</v>
      </c>
      <c r="J108" s="7">
        <v>1431</v>
      </c>
      <c r="K108" s="7">
        <v>257.23</v>
      </c>
      <c r="L108" s="7">
        <v>22.54</v>
      </c>
      <c r="M108" s="7">
        <v>5</v>
      </c>
      <c r="N108" s="7">
        <v>2</v>
      </c>
      <c r="O108" s="7">
        <v>4</v>
      </c>
      <c r="P108" s="7">
        <v>7</v>
      </c>
      <c r="Q108" s="6" t="s">
        <v>13</v>
      </c>
      <c r="R108" s="6" t="s">
        <v>73</v>
      </c>
      <c r="S108" s="6" t="s">
        <v>56</v>
      </c>
      <c r="T108" s="6" t="s">
        <v>57</v>
      </c>
      <c r="U108" s="6" t="s">
        <v>42</v>
      </c>
      <c r="V108" s="8" t="s">
        <v>9</v>
      </c>
    </row>
    <row r="109" spans="2:22" x14ac:dyDescent="0.3">
      <c r="B109" s="1" t="s">
        <v>265</v>
      </c>
      <c r="C109" s="3" t="s">
        <v>265</v>
      </c>
      <c r="D109" s="1" t="s">
        <v>266</v>
      </c>
      <c r="E109" s="3" t="s">
        <v>671</v>
      </c>
      <c r="F109" s="2" t="s">
        <v>3</v>
      </c>
      <c r="G109" s="2" t="s">
        <v>3</v>
      </c>
      <c r="H109" s="3">
        <v>2018</v>
      </c>
      <c r="I109" s="3">
        <v>2018</v>
      </c>
      <c r="J109" s="3">
        <v>907</v>
      </c>
      <c r="K109" s="3">
        <v>396.72</v>
      </c>
      <c r="L109" s="3">
        <v>5</v>
      </c>
      <c r="M109" s="3">
        <v>9</v>
      </c>
      <c r="N109" s="3">
        <v>4</v>
      </c>
      <c r="O109" s="3">
        <v>3</v>
      </c>
      <c r="P109" s="3">
        <v>4</v>
      </c>
      <c r="Q109" s="2" t="s">
        <v>4</v>
      </c>
      <c r="R109" s="2" t="s">
        <v>5</v>
      </c>
      <c r="S109" s="2" t="s">
        <v>173</v>
      </c>
      <c r="T109" s="2" t="s">
        <v>78</v>
      </c>
      <c r="U109" s="2" t="s">
        <v>29</v>
      </c>
      <c r="V109" s="4" t="s">
        <v>18</v>
      </c>
    </row>
    <row r="110" spans="2:22" x14ac:dyDescent="0.3">
      <c r="B110" s="5" t="s">
        <v>267</v>
      </c>
      <c r="C110" s="7" t="s">
        <v>267</v>
      </c>
      <c r="D110" s="5" t="s">
        <v>268</v>
      </c>
      <c r="E110" s="7" t="s">
        <v>672</v>
      </c>
      <c r="F110" s="6" t="s">
        <v>3</v>
      </c>
      <c r="G110" s="6" t="s">
        <v>3</v>
      </c>
      <c r="H110" s="7">
        <v>1999</v>
      </c>
      <c r="I110" s="7">
        <v>1999</v>
      </c>
      <c r="J110" s="7">
        <v>6471</v>
      </c>
      <c r="K110" s="7">
        <v>73.19</v>
      </c>
      <c r="L110" s="7">
        <v>10.25</v>
      </c>
      <c r="M110" s="7">
        <v>9</v>
      </c>
      <c r="N110" s="7">
        <v>2</v>
      </c>
      <c r="O110" s="7">
        <v>5</v>
      </c>
      <c r="P110" s="7">
        <v>6</v>
      </c>
      <c r="Q110" s="6" t="s">
        <v>39</v>
      </c>
      <c r="R110" s="6" t="s">
        <v>157</v>
      </c>
      <c r="S110" s="6" t="s">
        <v>116</v>
      </c>
      <c r="T110" s="6" t="s">
        <v>7</v>
      </c>
      <c r="U110" s="6" t="s">
        <v>17</v>
      </c>
      <c r="V110" s="8" t="s">
        <v>18</v>
      </c>
    </row>
    <row r="111" spans="2:22" x14ac:dyDescent="0.3">
      <c r="B111" s="1" t="s">
        <v>269</v>
      </c>
      <c r="C111" s="3" t="s">
        <v>269</v>
      </c>
      <c r="D111" s="1" t="s">
        <v>249</v>
      </c>
      <c r="E111" s="3" t="s">
        <v>664</v>
      </c>
      <c r="F111" s="2" t="s">
        <v>3</v>
      </c>
      <c r="G111" s="2" t="s">
        <v>3</v>
      </c>
      <c r="H111" s="3">
        <v>1991</v>
      </c>
      <c r="I111" s="3">
        <v>1991</v>
      </c>
      <c r="J111" s="3">
        <v>3559</v>
      </c>
      <c r="K111" s="3">
        <v>177.45</v>
      </c>
      <c r="L111" s="3">
        <v>14.86</v>
      </c>
      <c r="M111" s="3">
        <v>7</v>
      </c>
      <c r="N111" s="3">
        <v>3</v>
      </c>
      <c r="O111" s="3">
        <v>4</v>
      </c>
      <c r="P111" s="3">
        <v>3</v>
      </c>
      <c r="Q111" s="2" t="s">
        <v>103</v>
      </c>
      <c r="R111" s="2" t="s">
        <v>77</v>
      </c>
      <c r="S111" s="2" t="s">
        <v>173</v>
      </c>
      <c r="T111" s="2" t="s">
        <v>7</v>
      </c>
      <c r="U111" s="2" t="s">
        <v>8</v>
      </c>
      <c r="V111" s="4" t="s">
        <v>18</v>
      </c>
    </row>
    <row r="112" spans="2:22" x14ac:dyDescent="0.3">
      <c r="B112" s="5" t="s">
        <v>270</v>
      </c>
      <c r="C112" s="7" t="s">
        <v>270</v>
      </c>
      <c r="D112" s="5" t="s">
        <v>271</v>
      </c>
      <c r="E112" s="7" t="s">
        <v>673</v>
      </c>
      <c r="F112" s="6" t="s">
        <v>81</v>
      </c>
      <c r="G112" s="6" t="s">
        <v>81</v>
      </c>
      <c r="H112" s="7">
        <v>1989</v>
      </c>
      <c r="I112" s="7">
        <v>1989</v>
      </c>
      <c r="J112" s="7">
        <v>2708</v>
      </c>
      <c r="K112" s="7">
        <v>98.61</v>
      </c>
      <c r="L112" s="7">
        <v>24.09</v>
      </c>
      <c r="M112" s="7">
        <v>9</v>
      </c>
      <c r="N112" s="7">
        <v>6</v>
      </c>
      <c r="O112" s="7">
        <v>4</v>
      </c>
      <c r="P112" s="7">
        <v>7</v>
      </c>
      <c r="Q112" s="6" t="s">
        <v>190</v>
      </c>
      <c r="R112" s="6" t="s">
        <v>83</v>
      </c>
      <c r="S112" s="6" t="s">
        <v>145</v>
      </c>
      <c r="T112" s="6" t="s">
        <v>166</v>
      </c>
      <c r="U112" s="6" t="s">
        <v>29</v>
      </c>
      <c r="V112" s="8" t="s">
        <v>9</v>
      </c>
    </row>
    <row r="113" spans="2:22" x14ac:dyDescent="0.3">
      <c r="B113" s="1" t="s">
        <v>272</v>
      </c>
      <c r="C113" s="3" t="s">
        <v>582</v>
      </c>
      <c r="D113" s="1" t="s">
        <v>273</v>
      </c>
      <c r="E113" s="3" t="s">
        <v>674</v>
      </c>
      <c r="F113" s="2" t="s">
        <v>24</v>
      </c>
      <c r="G113" s="2" t="s">
        <v>24</v>
      </c>
      <c r="H113" s="3">
        <v>2014</v>
      </c>
      <c r="I113" s="3">
        <v>2014</v>
      </c>
      <c r="J113" s="3">
        <v>3968</v>
      </c>
      <c r="K113" s="3">
        <v>161.63999999999999</v>
      </c>
      <c r="L113" s="3">
        <v>10.09</v>
      </c>
      <c r="M113" s="3">
        <v>7</v>
      </c>
      <c r="N113" s="3">
        <v>3</v>
      </c>
      <c r="O113" s="3">
        <v>5</v>
      </c>
      <c r="P113" s="3">
        <v>7</v>
      </c>
      <c r="Q113" s="2" t="s">
        <v>65</v>
      </c>
      <c r="R113" s="2" t="s">
        <v>131</v>
      </c>
      <c r="S113" s="2" t="s">
        <v>27</v>
      </c>
      <c r="T113" s="2" t="s">
        <v>28</v>
      </c>
      <c r="U113" s="2" t="s">
        <v>17</v>
      </c>
      <c r="V113" s="4" t="s">
        <v>36</v>
      </c>
    </row>
    <row r="114" spans="2:22" x14ac:dyDescent="0.3">
      <c r="B114" s="5" t="s">
        <v>274</v>
      </c>
      <c r="C114" s="7" t="s">
        <v>583</v>
      </c>
      <c r="D114" s="5" t="s">
        <v>275</v>
      </c>
      <c r="E114" s="7" t="s">
        <v>675</v>
      </c>
      <c r="F114" s="6" t="s">
        <v>24</v>
      </c>
      <c r="G114" s="6" t="s">
        <v>24</v>
      </c>
      <c r="H114" s="7">
        <v>2018</v>
      </c>
      <c r="I114" s="7">
        <v>2018</v>
      </c>
      <c r="J114" s="7">
        <v>2317</v>
      </c>
      <c r="K114" s="7">
        <v>437.77</v>
      </c>
      <c r="L114" s="7">
        <v>17.89</v>
      </c>
      <c r="M114" s="7">
        <v>4</v>
      </c>
      <c r="N114" s="7">
        <v>7</v>
      </c>
      <c r="O114" s="7">
        <v>6</v>
      </c>
      <c r="P114" s="7">
        <v>4</v>
      </c>
      <c r="Q114" s="6" t="s">
        <v>65</v>
      </c>
      <c r="R114" s="6" t="s">
        <v>195</v>
      </c>
      <c r="S114" s="6" t="s">
        <v>93</v>
      </c>
      <c r="T114" s="6" t="s">
        <v>28</v>
      </c>
      <c r="U114" s="6" t="s">
        <v>8</v>
      </c>
      <c r="V114" s="8" t="s">
        <v>9</v>
      </c>
    </row>
    <row r="115" spans="2:22" x14ac:dyDescent="0.3">
      <c r="B115" s="1" t="s">
        <v>276</v>
      </c>
      <c r="C115" s="3" t="s">
        <v>276</v>
      </c>
      <c r="D115" s="1" t="s">
        <v>70</v>
      </c>
      <c r="E115" s="3" t="s">
        <v>602</v>
      </c>
      <c r="F115" s="2" t="s">
        <v>48</v>
      </c>
      <c r="G115" s="2" t="s">
        <v>48</v>
      </c>
      <c r="H115" s="3">
        <v>1989</v>
      </c>
      <c r="I115" s="3">
        <v>1989</v>
      </c>
      <c r="J115" s="3">
        <v>7217</v>
      </c>
      <c r="K115" s="3">
        <v>54.94</v>
      </c>
      <c r="L115" s="3">
        <v>6.58</v>
      </c>
      <c r="M115" s="3">
        <v>5</v>
      </c>
      <c r="N115" s="3">
        <v>5</v>
      </c>
      <c r="O115" s="3">
        <v>5</v>
      </c>
      <c r="P115" s="3">
        <v>2</v>
      </c>
      <c r="Q115" s="2" t="s">
        <v>121</v>
      </c>
      <c r="R115" s="2" t="s">
        <v>50</v>
      </c>
      <c r="S115" s="2" t="s">
        <v>89</v>
      </c>
      <c r="T115" s="2" t="s">
        <v>52</v>
      </c>
      <c r="U115" s="2" t="s">
        <v>29</v>
      </c>
      <c r="V115" s="4" t="s">
        <v>36</v>
      </c>
    </row>
    <row r="116" spans="2:22" x14ac:dyDescent="0.3">
      <c r="B116" s="5" t="s">
        <v>277</v>
      </c>
      <c r="C116" s="7" t="s">
        <v>277</v>
      </c>
      <c r="D116" s="5" t="s">
        <v>72</v>
      </c>
      <c r="E116" s="7" t="s">
        <v>603</v>
      </c>
      <c r="F116" s="6" t="s">
        <v>24</v>
      </c>
      <c r="G116" s="6" t="s">
        <v>24</v>
      </c>
      <c r="H116" s="7">
        <v>1981</v>
      </c>
      <c r="I116" s="7">
        <v>1981</v>
      </c>
      <c r="J116" s="7">
        <v>5271</v>
      </c>
      <c r="K116" s="7">
        <v>466.1</v>
      </c>
      <c r="L116" s="7">
        <v>17.77</v>
      </c>
      <c r="M116" s="7">
        <v>9</v>
      </c>
      <c r="N116" s="7">
        <v>7</v>
      </c>
      <c r="O116" s="7">
        <v>5</v>
      </c>
      <c r="P116" s="7">
        <v>3</v>
      </c>
      <c r="Q116" s="6" t="s">
        <v>141</v>
      </c>
      <c r="R116" s="6" t="s">
        <v>195</v>
      </c>
      <c r="S116" s="6" t="s">
        <v>67</v>
      </c>
      <c r="T116" s="6" t="s">
        <v>68</v>
      </c>
      <c r="U116" s="6" t="s">
        <v>29</v>
      </c>
      <c r="V116" s="8" t="s">
        <v>18</v>
      </c>
    </row>
    <row r="117" spans="2:22" x14ac:dyDescent="0.3">
      <c r="B117" s="1" t="s">
        <v>278</v>
      </c>
      <c r="C117" s="3" t="s">
        <v>278</v>
      </c>
      <c r="D117" s="1" t="s">
        <v>279</v>
      </c>
      <c r="E117" s="3" t="s">
        <v>676</v>
      </c>
      <c r="F117" s="2" t="s">
        <v>48</v>
      </c>
      <c r="G117" s="2" t="s">
        <v>48</v>
      </c>
      <c r="H117" s="3">
        <v>1980</v>
      </c>
      <c r="I117" s="3">
        <v>1980</v>
      </c>
      <c r="J117" s="3">
        <v>1348</v>
      </c>
      <c r="K117" s="3">
        <v>19.309999999999999</v>
      </c>
      <c r="L117" s="3">
        <v>4.03</v>
      </c>
      <c r="M117" s="3">
        <v>5</v>
      </c>
      <c r="N117" s="3">
        <v>3</v>
      </c>
      <c r="O117" s="3">
        <v>7</v>
      </c>
      <c r="P117" s="3">
        <v>7</v>
      </c>
      <c r="Q117" s="2" t="s">
        <v>51</v>
      </c>
      <c r="R117" s="2" t="s">
        <v>154</v>
      </c>
      <c r="S117" s="2" t="s">
        <v>61</v>
      </c>
      <c r="T117" s="2" t="s">
        <v>52</v>
      </c>
      <c r="U117" s="2" t="s">
        <v>29</v>
      </c>
      <c r="V117" s="4" t="s">
        <v>36</v>
      </c>
    </row>
    <row r="118" spans="2:22" x14ac:dyDescent="0.3">
      <c r="B118" s="5" t="s">
        <v>280</v>
      </c>
      <c r="C118" s="7" t="s">
        <v>280</v>
      </c>
      <c r="D118" s="5" t="s">
        <v>281</v>
      </c>
      <c r="E118" s="7" t="s">
        <v>677</v>
      </c>
      <c r="F118" s="6" t="s">
        <v>81</v>
      </c>
      <c r="G118" s="6" t="s">
        <v>81</v>
      </c>
      <c r="H118" s="7">
        <v>2020</v>
      </c>
      <c r="I118" s="7">
        <v>2020</v>
      </c>
      <c r="J118" s="7">
        <v>7539</v>
      </c>
      <c r="K118" s="7">
        <v>40.78</v>
      </c>
      <c r="L118" s="7">
        <v>-4.95</v>
      </c>
      <c r="M118" s="7">
        <v>7</v>
      </c>
      <c r="N118" s="7">
        <v>6</v>
      </c>
      <c r="O118" s="7">
        <v>7</v>
      </c>
      <c r="P118" s="7">
        <v>2</v>
      </c>
      <c r="Q118" s="6" t="s">
        <v>82</v>
      </c>
      <c r="R118" s="6" t="s">
        <v>104</v>
      </c>
      <c r="S118" s="6" t="s">
        <v>209</v>
      </c>
      <c r="T118" s="6" t="s">
        <v>166</v>
      </c>
      <c r="U118" s="6" t="s">
        <v>17</v>
      </c>
      <c r="V118" s="8" t="s">
        <v>18</v>
      </c>
    </row>
    <row r="119" spans="2:22" x14ac:dyDescent="0.3">
      <c r="B119" s="1" t="s">
        <v>282</v>
      </c>
      <c r="C119" s="3" t="s">
        <v>282</v>
      </c>
      <c r="D119" s="1" t="s">
        <v>283</v>
      </c>
      <c r="E119" s="3" t="s">
        <v>678</v>
      </c>
      <c r="F119" s="2" t="s">
        <v>48</v>
      </c>
      <c r="G119" s="2" t="s">
        <v>48</v>
      </c>
      <c r="H119" s="3">
        <v>2006</v>
      </c>
      <c r="I119" s="3">
        <v>2006</v>
      </c>
      <c r="J119" s="3">
        <v>3118</v>
      </c>
      <c r="K119" s="3">
        <v>335.54</v>
      </c>
      <c r="L119" s="3">
        <v>14.07</v>
      </c>
      <c r="M119" s="3">
        <v>4</v>
      </c>
      <c r="N119" s="3">
        <v>6</v>
      </c>
      <c r="O119" s="3">
        <v>5</v>
      </c>
      <c r="P119" s="3">
        <v>2</v>
      </c>
      <c r="Q119" s="2" t="s">
        <v>51</v>
      </c>
      <c r="R119" s="2" t="s">
        <v>50</v>
      </c>
      <c r="S119" s="2" t="s">
        <v>89</v>
      </c>
      <c r="T119" s="2" t="s">
        <v>62</v>
      </c>
      <c r="U119" s="2" t="s">
        <v>8</v>
      </c>
      <c r="V119" s="4" t="s">
        <v>36</v>
      </c>
    </row>
    <row r="120" spans="2:22" x14ac:dyDescent="0.3">
      <c r="B120" s="5" t="s">
        <v>284</v>
      </c>
      <c r="C120" s="7" t="s">
        <v>284</v>
      </c>
      <c r="D120" s="5" t="s">
        <v>285</v>
      </c>
      <c r="E120" s="7" t="s">
        <v>679</v>
      </c>
      <c r="F120" s="6" t="s">
        <v>12</v>
      </c>
      <c r="G120" s="6" t="s">
        <v>12</v>
      </c>
      <c r="H120" s="7">
        <v>2002</v>
      </c>
      <c r="I120" s="7">
        <v>2002</v>
      </c>
      <c r="J120" s="7">
        <v>1156</v>
      </c>
      <c r="K120" s="7">
        <v>178.95</v>
      </c>
      <c r="L120" s="7">
        <v>11.38</v>
      </c>
      <c r="M120" s="7">
        <v>9</v>
      </c>
      <c r="N120" s="7">
        <v>7</v>
      </c>
      <c r="O120" s="7">
        <v>8</v>
      </c>
      <c r="P120" s="7">
        <v>2</v>
      </c>
      <c r="Q120" s="6" t="s">
        <v>55</v>
      </c>
      <c r="R120" s="6" t="s">
        <v>14</v>
      </c>
      <c r="S120" s="6" t="s">
        <v>56</v>
      </c>
      <c r="T120" s="6" t="s">
        <v>35</v>
      </c>
      <c r="U120" s="6" t="s">
        <v>42</v>
      </c>
      <c r="V120" s="8" t="s">
        <v>18</v>
      </c>
    </row>
    <row r="121" spans="2:22" x14ac:dyDescent="0.3">
      <c r="B121" s="1" t="s">
        <v>286</v>
      </c>
      <c r="C121" s="3" t="s">
        <v>286</v>
      </c>
      <c r="D121" s="1" t="s">
        <v>70</v>
      </c>
      <c r="E121" s="3" t="s">
        <v>602</v>
      </c>
      <c r="F121" s="2" t="s">
        <v>81</v>
      </c>
      <c r="G121" s="2" t="s">
        <v>81</v>
      </c>
      <c r="H121" s="3">
        <v>2020</v>
      </c>
      <c r="I121" s="3">
        <v>2020</v>
      </c>
      <c r="J121" s="3">
        <v>3036</v>
      </c>
      <c r="K121" s="3">
        <v>407.63</v>
      </c>
      <c r="L121" s="3">
        <v>4.47</v>
      </c>
      <c r="M121" s="3">
        <v>4</v>
      </c>
      <c r="N121" s="3">
        <v>7</v>
      </c>
      <c r="O121" s="3">
        <v>6</v>
      </c>
      <c r="P121" s="3">
        <v>2</v>
      </c>
      <c r="Q121" s="2" t="s">
        <v>103</v>
      </c>
      <c r="R121" s="2" t="s">
        <v>104</v>
      </c>
      <c r="S121" s="2" t="s">
        <v>82</v>
      </c>
      <c r="T121" s="2" t="s">
        <v>111</v>
      </c>
      <c r="U121" s="2" t="s">
        <v>8</v>
      </c>
      <c r="V121" s="4" t="s">
        <v>36</v>
      </c>
    </row>
    <row r="122" spans="2:22" x14ac:dyDescent="0.3">
      <c r="B122" s="5" t="s">
        <v>287</v>
      </c>
      <c r="C122" s="7" t="s">
        <v>287</v>
      </c>
      <c r="D122" s="5" t="s">
        <v>288</v>
      </c>
      <c r="E122" s="7" t="s">
        <v>680</v>
      </c>
      <c r="F122" s="6" t="s">
        <v>81</v>
      </c>
      <c r="G122" s="6" t="s">
        <v>81</v>
      </c>
      <c r="H122" s="7">
        <v>2014</v>
      </c>
      <c r="I122" s="7">
        <v>2014</v>
      </c>
      <c r="J122" s="7">
        <v>7806</v>
      </c>
      <c r="K122" s="7">
        <v>134.12</v>
      </c>
      <c r="L122" s="7">
        <v>8.11</v>
      </c>
      <c r="M122" s="7">
        <v>9</v>
      </c>
      <c r="N122" s="7">
        <v>3</v>
      </c>
      <c r="O122" s="7">
        <v>5</v>
      </c>
      <c r="P122" s="7">
        <v>4</v>
      </c>
      <c r="Q122" s="6" t="s">
        <v>87</v>
      </c>
      <c r="R122" s="6" t="s">
        <v>139</v>
      </c>
      <c r="S122" s="6" t="s">
        <v>89</v>
      </c>
      <c r="T122" s="6" t="s">
        <v>84</v>
      </c>
      <c r="U122" s="6" t="s">
        <v>42</v>
      </c>
      <c r="V122" s="8" t="s">
        <v>18</v>
      </c>
    </row>
    <row r="123" spans="2:22" x14ac:dyDescent="0.3">
      <c r="B123" s="1" t="s">
        <v>289</v>
      </c>
      <c r="C123" s="3" t="s">
        <v>289</v>
      </c>
      <c r="D123" s="1" t="s">
        <v>290</v>
      </c>
      <c r="E123" s="3" t="s">
        <v>681</v>
      </c>
      <c r="F123" s="2" t="s">
        <v>81</v>
      </c>
      <c r="G123" s="2" t="s">
        <v>81</v>
      </c>
      <c r="H123" s="3">
        <v>2001</v>
      </c>
      <c r="I123" s="3">
        <v>2001</v>
      </c>
      <c r="J123" s="3">
        <v>3110</v>
      </c>
      <c r="K123" s="3">
        <v>253.14</v>
      </c>
      <c r="L123" s="3">
        <v>11.36</v>
      </c>
      <c r="M123" s="3">
        <v>7</v>
      </c>
      <c r="N123" s="3">
        <v>4</v>
      </c>
      <c r="O123" s="3">
        <v>7</v>
      </c>
      <c r="P123" s="3">
        <v>4</v>
      </c>
      <c r="Q123" s="2" t="s">
        <v>87</v>
      </c>
      <c r="R123" s="2" t="s">
        <v>88</v>
      </c>
      <c r="S123" s="2" t="s">
        <v>82</v>
      </c>
      <c r="T123" s="2" t="s">
        <v>90</v>
      </c>
      <c r="U123" s="2" t="s">
        <v>29</v>
      </c>
      <c r="V123" s="4" t="s">
        <v>18</v>
      </c>
    </row>
    <row r="124" spans="2:22" x14ac:dyDescent="0.3">
      <c r="B124" s="5" t="s">
        <v>291</v>
      </c>
      <c r="C124" s="7" t="s">
        <v>291</v>
      </c>
      <c r="D124" s="5" t="s">
        <v>230</v>
      </c>
      <c r="E124" s="7" t="s">
        <v>655</v>
      </c>
      <c r="F124" s="6" t="s">
        <v>12</v>
      </c>
      <c r="G124" s="6" t="s">
        <v>12</v>
      </c>
      <c r="H124" s="7">
        <v>2000</v>
      </c>
      <c r="I124" s="7">
        <v>2000</v>
      </c>
      <c r="J124" s="7">
        <v>4893</v>
      </c>
      <c r="K124" s="7">
        <v>160.18</v>
      </c>
      <c r="L124" s="7">
        <v>13.45</v>
      </c>
      <c r="M124" s="7">
        <v>8</v>
      </c>
      <c r="N124" s="7">
        <v>7</v>
      </c>
      <c r="O124" s="7">
        <v>6</v>
      </c>
      <c r="P124" s="7">
        <v>3</v>
      </c>
      <c r="Q124" s="6" t="s">
        <v>13</v>
      </c>
      <c r="R124" s="6" t="s">
        <v>14</v>
      </c>
      <c r="S124" s="6" t="s">
        <v>212</v>
      </c>
      <c r="T124" s="6" t="s">
        <v>35</v>
      </c>
      <c r="U124" s="6" t="s">
        <v>42</v>
      </c>
      <c r="V124" s="8" t="s">
        <v>18</v>
      </c>
    </row>
    <row r="125" spans="2:22" x14ac:dyDescent="0.3">
      <c r="B125" s="1" t="s">
        <v>292</v>
      </c>
      <c r="C125" s="3" t="s">
        <v>292</v>
      </c>
      <c r="D125" s="1" t="s">
        <v>293</v>
      </c>
      <c r="E125" s="3" t="s">
        <v>682</v>
      </c>
      <c r="F125" s="2" t="s">
        <v>12</v>
      </c>
      <c r="G125" s="2" t="s">
        <v>12</v>
      </c>
      <c r="H125" s="3">
        <v>1984</v>
      </c>
      <c r="I125" s="3">
        <v>1984</v>
      </c>
      <c r="J125" s="3">
        <v>6705</v>
      </c>
      <c r="K125" s="3">
        <v>188.02</v>
      </c>
      <c r="L125" s="3">
        <v>2.08</v>
      </c>
      <c r="M125" s="3">
        <v>9</v>
      </c>
      <c r="N125" s="3">
        <v>7</v>
      </c>
      <c r="O125" s="3">
        <v>4</v>
      </c>
      <c r="P125" s="3">
        <v>2</v>
      </c>
      <c r="Q125" s="2" t="s">
        <v>95</v>
      </c>
      <c r="R125" s="2" t="s">
        <v>73</v>
      </c>
      <c r="S125" s="2" t="s">
        <v>15</v>
      </c>
      <c r="T125" s="2" t="s">
        <v>16</v>
      </c>
      <c r="U125" s="2" t="s">
        <v>8</v>
      </c>
      <c r="V125" s="4" t="s">
        <v>18</v>
      </c>
    </row>
    <row r="126" spans="2:22" x14ac:dyDescent="0.3">
      <c r="B126" s="5" t="s">
        <v>294</v>
      </c>
      <c r="C126" s="7" t="s">
        <v>294</v>
      </c>
      <c r="D126" s="5" t="s">
        <v>295</v>
      </c>
      <c r="E126" s="7" t="s">
        <v>683</v>
      </c>
      <c r="F126" s="6" t="s">
        <v>81</v>
      </c>
      <c r="G126" s="6" t="s">
        <v>81</v>
      </c>
      <c r="H126" s="7">
        <v>2016</v>
      </c>
      <c r="I126" s="7">
        <v>2016</v>
      </c>
      <c r="J126" s="7">
        <v>580</v>
      </c>
      <c r="K126" s="7">
        <v>306.5</v>
      </c>
      <c r="L126" s="7">
        <v>4.43</v>
      </c>
      <c r="M126" s="7">
        <v>9</v>
      </c>
      <c r="N126" s="7">
        <v>5</v>
      </c>
      <c r="O126" s="7">
        <v>5</v>
      </c>
      <c r="P126" s="7">
        <v>4</v>
      </c>
      <c r="Q126" s="6" t="s">
        <v>190</v>
      </c>
      <c r="R126" s="6" t="s">
        <v>83</v>
      </c>
      <c r="S126" s="6" t="s">
        <v>209</v>
      </c>
      <c r="T126" s="6" t="s">
        <v>166</v>
      </c>
      <c r="U126" s="6" t="s">
        <v>17</v>
      </c>
      <c r="V126" s="8" t="s">
        <v>18</v>
      </c>
    </row>
    <row r="127" spans="2:22" x14ac:dyDescent="0.3">
      <c r="B127" s="1" t="s">
        <v>296</v>
      </c>
      <c r="C127" s="3" t="s">
        <v>296</v>
      </c>
      <c r="D127" s="1" t="s">
        <v>297</v>
      </c>
      <c r="E127" s="3" t="s">
        <v>684</v>
      </c>
      <c r="F127" s="2" t="s">
        <v>12</v>
      </c>
      <c r="G127" s="2" t="s">
        <v>12</v>
      </c>
      <c r="H127" s="3">
        <v>1981</v>
      </c>
      <c r="I127" s="3">
        <v>1981</v>
      </c>
      <c r="J127" s="3">
        <v>3098</v>
      </c>
      <c r="K127" s="3">
        <v>254.53</v>
      </c>
      <c r="L127" s="3">
        <v>1.01</v>
      </c>
      <c r="M127" s="3">
        <v>7</v>
      </c>
      <c r="N127" s="3">
        <v>6</v>
      </c>
      <c r="O127" s="3">
        <v>3</v>
      </c>
      <c r="P127" s="3">
        <v>4</v>
      </c>
      <c r="Q127" s="2" t="s">
        <v>32</v>
      </c>
      <c r="R127" s="2" t="s">
        <v>73</v>
      </c>
      <c r="S127" s="2" t="s">
        <v>56</v>
      </c>
      <c r="T127" s="2" t="s">
        <v>57</v>
      </c>
      <c r="U127" s="2" t="s">
        <v>17</v>
      </c>
      <c r="V127" s="4" t="s">
        <v>9</v>
      </c>
    </row>
    <row r="128" spans="2:22" x14ac:dyDescent="0.3">
      <c r="B128" s="5" t="s">
        <v>298</v>
      </c>
      <c r="C128" s="7" t="s">
        <v>584</v>
      </c>
      <c r="D128" s="5" t="s">
        <v>175</v>
      </c>
      <c r="E128" s="7" t="s">
        <v>633</v>
      </c>
      <c r="F128" s="6" t="s">
        <v>81</v>
      </c>
      <c r="G128" s="6" t="s">
        <v>81</v>
      </c>
      <c r="H128" s="7">
        <v>1991</v>
      </c>
      <c r="I128" s="7">
        <v>1991</v>
      </c>
      <c r="J128" s="7">
        <v>7342</v>
      </c>
      <c r="K128" s="7">
        <v>498.66</v>
      </c>
      <c r="L128" s="7">
        <v>18.809999999999999</v>
      </c>
      <c r="M128" s="7">
        <v>9</v>
      </c>
      <c r="N128" s="7">
        <v>4</v>
      </c>
      <c r="O128" s="7">
        <v>8</v>
      </c>
      <c r="P128" s="7">
        <v>4</v>
      </c>
      <c r="Q128" s="6" t="s">
        <v>87</v>
      </c>
      <c r="R128" s="6" t="s">
        <v>139</v>
      </c>
      <c r="S128" s="6" t="s">
        <v>89</v>
      </c>
      <c r="T128" s="6" t="s">
        <v>111</v>
      </c>
      <c r="U128" s="6" t="s">
        <v>29</v>
      </c>
      <c r="V128" s="8" t="s">
        <v>18</v>
      </c>
    </row>
    <row r="129" spans="2:22" x14ac:dyDescent="0.3">
      <c r="B129" s="1" t="s">
        <v>299</v>
      </c>
      <c r="C129" s="3" t="s">
        <v>299</v>
      </c>
      <c r="D129" s="1" t="s">
        <v>300</v>
      </c>
      <c r="E129" s="3" t="s">
        <v>685</v>
      </c>
      <c r="F129" s="2" t="s">
        <v>12</v>
      </c>
      <c r="G129" s="2" t="s">
        <v>12</v>
      </c>
      <c r="H129" s="3">
        <v>1992</v>
      </c>
      <c r="I129" s="3">
        <v>1992</v>
      </c>
      <c r="J129" s="3">
        <v>2325</v>
      </c>
      <c r="K129" s="3">
        <v>126</v>
      </c>
      <c r="L129" s="3">
        <v>-3.03</v>
      </c>
      <c r="M129" s="3">
        <v>7</v>
      </c>
      <c r="N129" s="3">
        <v>2</v>
      </c>
      <c r="O129" s="3">
        <v>5</v>
      </c>
      <c r="P129" s="3">
        <v>6</v>
      </c>
      <c r="Q129" s="2" t="s">
        <v>55</v>
      </c>
      <c r="R129" s="2" t="s">
        <v>14</v>
      </c>
      <c r="S129" s="2" t="s">
        <v>212</v>
      </c>
      <c r="T129" s="2" t="s">
        <v>16</v>
      </c>
      <c r="U129" s="2" t="s">
        <v>8</v>
      </c>
      <c r="V129" s="4" t="s">
        <v>18</v>
      </c>
    </row>
    <row r="130" spans="2:22" x14ac:dyDescent="0.3">
      <c r="B130" s="5" t="s">
        <v>301</v>
      </c>
      <c r="C130" s="7" t="s">
        <v>301</v>
      </c>
      <c r="D130" s="5" t="s">
        <v>302</v>
      </c>
      <c r="E130" s="7" t="s">
        <v>686</v>
      </c>
      <c r="F130" s="6" t="s">
        <v>48</v>
      </c>
      <c r="G130" s="6" t="s">
        <v>48</v>
      </c>
      <c r="H130" s="7">
        <v>2006</v>
      </c>
      <c r="I130" s="7">
        <v>2006</v>
      </c>
      <c r="J130" s="7">
        <v>6758</v>
      </c>
      <c r="K130" s="7">
        <v>413.44</v>
      </c>
      <c r="L130" s="7">
        <v>21.34</v>
      </c>
      <c r="M130" s="7">
        <v>4</v>
      </c>
      <c r="N130" s="7">
        <v>3</v>
      </c>
      <c r="O130" s="7">
        <v>5</v>
      </c>
      <c r="P130" s="7">
        <v>7</v>
      </c>
      <c r="Q130" s="6" t="s">
        <v>49</v>
      </c>
      <c r="R130" s="6" t="s">
        <v>154</v>
      </c>
      <c r="S130" s="6" t="s">
        <v>89</v>
      </c>
      <c r="T130" s="6" t="s">
        <v>52</v>
      </c>
      <c r="U130" s="6" t="s">
        <v>29</v>
      </c>
      <c r="V130" s="8" t="s">
        <v>9</v>
      </c>
    </row>
    <row r="131" spans="2:22" x14ac:dyDescent="0.3">
      <c r="B131" s="1" t="s">
        <v>303</v>
      </c>
      <c r="C131" s="3" t="s">
        <v>303</v>
      </c>
      <c r="D131" s="1" t="s">
        <v>304</v>
      </c>
      <c r="E131" s="3" t="s">
        <v>687</v>
      </c>
      <c r="F131" s="2" t="s">
        <v>24</v>
      </c>
      <c r="G131" s="2" t="s">
        <v>24</v>
      </c>
      <c r="H131" s="3">
        <v>1988</v>
      </c>
      <c r="I131" s="3">
        <v>1988</v>
      </c>
      <c r="J131" s="3">
        <v>7138</v>
      </c>
      <c r="K131" s="3">
        <v>256.39999999999998</v>
      </c>
      <c r="L131" s="3">
        <v>5.38</v>
      </c>
      <c r="M131" s="3">
        <v>4</v>
      </c>
      <c r="N131" s="3">
        <v>2</v>
      </c>
      <c r="O131" s="3">
        <v>7</v>
      </c>
      <c r="P131" s="3">
        <v>3</v>
      </c>
      <c r="Q131" s="2" t="s">
        <v>305</v>
      </c>
      <c r="R131" s="2" t="s">
        <v>66</v>
      </c>
      <c r="S131" s="2" t="s">
        <v>132</v>
      </c>
      <c r="T131" s="2" t="s">
        <v>28</v>
      </c>
      <c r="U131" s="2" t="s">
        <v>29</v>
      </c>
      <c r="V131" s="4" t="s">
        <v>18</v>
      </c>
    </row>
    <row r="132" spans="2:22" x14ac:dyDescent="0.3">
      <c r="B132" s="5" t="s">
        <v>306</v>
      </c>
      <c r="C132" s="7" t="s">
        <v>306</v>
      </c>
      <c r="D132" s="5" t="s">
        <v>307</v>
      </c>
      <c r="E132" s="7" t="s">
        <v>688</v>
      </c>
      <c r="F132" s="6" t="s">
        <v>12</v>
      </c>
      <c r="G132" s="6" t="s">
        <v>12</v>
      </c>
      <c r="H132" s="7">
        <v>1996</v>
      </c>
      <c r="I132" s="7">
        <v>1996</v>
      </c>
      <c r="J132" s="7">
        <v>3266</v>
      </c>
      <c r="K132" s="7">
        <v>321.18</v>
      </c>
      <c r="L132" s="7">
        <v>14.76</v>
      </c>
      <c r="M132" s="7">
        <v>8</v>
      </c>
      <c r="N132" s="7">
        <v>4</v>
      </c>
      <c r="O132" s="7">
        <v>4</v>
      </c>
      <c r="P132" s="7">
        <v>7</v>
      </c>
      <c r="Q132" s="6" t="s">
        <v>32</v>
      </c>
      <c r="R132" s="6" t="s">
        <v>152</v>
      </c>
      <c r="S132" s="6" t="s">
        <v>56</v>
      </c>
      <c r="T132" s="6" t="s">
        <v>16</v>
      </c>
      <c r="U132" s="6" t="s">
        <v>29</v>
      </c>
      <c r="V132" s="8" t="s">
        <v>36</v>
      </c>
    </row>
    <row r="133" spans="2:22" x14ac:dyDescent="0.3">
      <c r="B133" s="1" t="s">
        <v>308</v>
      </c>
      <c r="C133" s="3" t="s">
        <v>308</v>
      </c>
      <c r="D133" s="1" t="s">
        <v>309</v>
      </c>
      <c r="E133" s="3" t="s">
        <v>689</v>
      </c>
      <c r="F133" s="2" t="s">
        <v>12</v>
      </c>
      <c r="G133" s="2" t="s">
        <v>12</v>
      </c>
      <c r="H133" s="3">
        <v>1981</v>
      </c>
      <c r="I133" s="3">
        <v>1981</v>
      </c>
      <c r="J133" s="3">
        <v>1380</v>
      </c>
      <c r="K133" s="3">
        <v>32.28</v>
      </c>
      <c r="L133" s="3">
        <v>14.26</v>
      </c>
      <c r="M133" s="3">
        <v>9</v>
      </c>
      <c r="N133" s="3">
        <v>6</v>
      </c>
      <c r="O133" s="3">
        <v>5</v>
      </c>
      <c r="P133" s="3">
        <v>7</v>
      </c>
      <c r="Q133" s="2" t="s">
        <v>95</v>
      </c>
      <c r="R133" s="2" t="s">
        <v>73</v>
      </c>
      <c r="S133" s="2" t="s">
        <v>15</v>
      </c>
      <c r="T133" s="2" t="s">
        <v>74</v>
      </c>
      <c r="U133" s="2" t="s">
        <v>42</v>
      </c>
      <c r="V133" s="4" t="s">
        <v>36</v>
      </c>
    </row>
    <row r="134" spans="2:22" x14ac:dyDescent="0.3">
      <c r="B134" s="5" t="s">
        <v>310</v>
      </c>
      <c r="C134" s="7" t="s">
        <v>310</v>
      </c>
      <c r="D134" s="5" t="s">
        <v>290</v>
      </c>
      <c r="E134" s="7" t="s">
        <v>681</v>
      </c>
      <c r="F134" s="6" t="s">
        <v>24</v>
      </c>
      <c r="G134" s="6" t="s">
        <v>24</v>
      </c>
      <c r="H134" s="7">
        <v>2005</v>
      </c>
      <c r="I134" s="7">
        <v>2005</v>
      </c>
      <c r="J134" s="7">
        <v>4923</v>
      </c>
      <c r="K134" s="7">
        <v>232.24</v>
      </c>
      <c r="L134" s="7">
        <v>13.2</v>
      </c>
      <c r="M134" s="7">
        <v>9</v>
      </c>
      <c r="N134" s="7">
        <v>2</v>
      </c>
      <c r="O134" s="7">
        <v>4</v>
      </c>
      <c r="P134" s="7">
        <v>5</v>
      </c>
      <c r="Q134" s="6" t="s">
        <v>25</v>
      </c>
      <c r="R134" s="6" t="s">
        <v>131</v>
      </c>
      <c r="S134" s="6" t="s">
        <v>27</v>
      </c>
      <c r="T134" s="6" t="s">
        <v>200</v>
      </c>
      <c r="U134" s="6" t="s">
        <v>42</v>
      </c>
      <c r="V134" s="8" t="s">
        <v>18</v>
      </c>
    </row>
    <row r="135" spans="2:22" x14ac:dyDescent="0.3">
      <c r="B135" s="1" t="s">
        <v>311</v>
      </c>
      <c r="C135" s="3" t="s">
        <v>311</v>
      </c>
      <c r="D135" s="1" t="s">
        <v>204</v>
      </c>
      <c r="E135" s="3" t="s">
        <v>645</v>
      </c>
      <c r="F135" s="2" t="s">
        <v>3</v>
      </c>
      <c r="G135" s="2" t="s">
        <v>3</v>
      </c>
      <c r="H135" s="3">
        <v>2005</v>
      </c>
      <c r="I135" s="3">
        <v>2005</v>
      </c>
      <c r="J135" s="3">
        <v>2192</v>
      </c>
      <c r="K135" s="3">
        <v>382.73</v>
      </c>
      <c r="L135" s="3">
        <v>2.44</v>
      </c>
      <c r="M135" s="3">
        <v>8</v>
      </c>
      <c r="N135" s="3">
        <v>6</v>
      </c>
      <c r="O135" s="3">
        <v>3</v>
      </c>
      <c r="P135" s="3">
        <v>4</v>
      </c>
      <c r="Q135" s="2" t="s">
        <v>103</v>
      </c>
      <c r="R135" s="2" t="s">
        <v>5</v>
      </c>
      <c r="S135" s="2" t="s">
        <v>6</v>
      </c>
      <c r="T135" s="2" t="s">
        <v>78</v>
      </c>
      <c r="U135" s="2" t="s">
        <v>17</v>
      </c>
      <c r="V135" s="4" t="s">
        <v>36</v>
      </c>
    </row>
    <row r="136" spans="2:22" x14ac:dyDescent="0.3">
      <c r="B136" s="5" t="s">
        <v>312</v>
      </c>
      <c r="C136" s="7" t="s">
        <v>312</v>
      </c>
      <c r="D136" s="5" t="s">
        <v>313</v>
      </c>
      <c r="E136" s="7" t="s">
        <v>690</v>
      </c>
      <c r="F136" s="6" t="s">
        <v>3</v>
      </c>
      <c r="G136" s="6" t="s">
        <v>3</v>
      </c>
      <c r="H136" s="7">
        <v>2004</v>
      </c>
      <c r="I136" s="7">
        <v>2004</v>
      </c>
      <c r="J136" s="7">
        <v>6900</v>
      </c>
      <c r="K136" s="7">
        <v>131.65</v>
      </c>
      <c r="L136" s="7">
        <v>9.9600000000000009</v>
      </c>
      <c r="M136" s="7">
        <v>5</v>
      </c>
      <c r="N136" s="7">
        <v>4</v>
      </c>
      <c r="O136" s="7">
        <v>7</v>
      </c>
      <c r="P136" s="7">
        <v>7</v>
      </c>
      <c r="Q136" s="6" t="s">
        <v>161</v>
      </c>
      <c r="R136" s="6" t="s">
        <v>115</v>
      </c>
      <c r="S136" s="6" t="s">
        <v>116</v>
      </c>
      <c r="T136" s="6" t="s">
        <v>21</v>
      </c>
      <c r="U136" s="6" t="s">
        <v>17</v>
      </c>
      <c r="V136" s="8" t="s">
        <v>36</v>
      </c>
    </row>
    <row r="137" spans="2:22" x14ac:dyDescent="0.3">
      <c r="B137" s="1" t="s">
        <v>314</v>
      </c>
      <c r="C137" s="3" t="s">
        <v>314</v>
      </c>
      <c r="D137" s="1" t="s">
        <v>232</v>
      </c>
      <c r="E137" s="3" t="s">
        <v>656</v>
      </c>
      <c r="F137" s="2" t="s">
        <v>12</v>
      </c>
      <c r="G137" s="2" t="s">
        <v>12</v>
      </c>
      <c r="H137" s="3">
        <v>1985</v>
      </c>
      <c r="I137" s="3">
        <v>1985</v>
      </c>
      <c r="J137" s="3">
        <v>6492</v>
      </c>
      <c r="K137" s="3">
        <v>257.67</v>
      </c>
      <c r="L137" s="3">
        <v>3.57</v>
      </c>
      <c r="M137" s="3">
        <v>5</v>
      </c>
      <c r="N137" s="3">
        <v>3</v>
      </c>
      <c r="O137" s="3">
        <v>7</v>
      </c>
      <c r="P137" s="3">
        <v>4</v>
      </c>
      <c r="Q137" s="2" t="s">
        <v>235</v>
      </c>
      <c r="R137" s="2" t="s">
        <v>152</v>
      </c>
      <c r="S137" s="2" t="s">
        <v>34</v>
      </c>
      <c r="T137" s="2" t="s">
        <v>74</v>
      </c>
      <c r="U137" s="2" t="s">
        <v>17</v>
      </c>
      <c r="V137" s="4" t="s">
        <v>18</v>
      </c>
    </row>
    <row r="138" spans="2:22" x14ac:dyDescent="0.3">
      <c r="B138" s="5" t="s">
        <v>315</v>
      </c>
      <c r="C138" s="7" t="s">
        <v>315</v>
      </c>
      <c r="D138" s="5" t="s">
        <v>316</v>
      </c>
      <c r="E138" s="7" t="s">
        <v>691</v>
      </c>
      <c r="F138" s="6" t="s">
        <v>81</v>
      </c>
      <c r="G138" s="6" t="s">
        <v>81</v>
      </c>
      <c r="H138" s="7">
        <v>1988</v>
      </c>
      <c r="I138" s="7">
        <v>1988</v>
      </c>
      <c r="J138" s="7">
        <v>4383</v>
      </c>
      <c r="K138" s="7">
        <v>366.48</v>
      </c>
      <c r="L138" s="7">
        <v>6.59</v>
      </c>
      <c r="M138" s="7">
        <v>7</v>
      </c>
      <c r="N138" s="7">
        <v>4</v>
      </c>
      <c r="O138" s="7">
        <v>3</v>
      </c>
      <c r="P138" s="7">
        <v>5</v>
      </c>
      <c r="Q138" s="6" t="s">
        <v>87</v>
      </c>
      <c r="R138" s="6" t="s">
        <v>104</v>
      </c>
      <c r="S138" s="6" t="s">
        <v>89</v>
      </c>
      <c r="T138" s="6" t="s">
        <v>166</v>
      </c>
      <c r="U138" s="6" t="s">
        <v>8</v>
      </c>
      <c r="V138" s="8" t="s">
        <v>36</v>
      </c>
    </row>
    <row r="139" spans="2:22" x14ac:dyDescent="0.3">
      <c r="B139" s="1" t="s">
        <v>317</v>
      </c>
      <c r="C139" s="3" t="s">
        <v>317</v>
      </c>
      <c r="D139" s="1" t="s">
        <v>258</v>
      </c>
      <c r="E139" s="3" t="s">
        <v>668</v>
      </c>
      <c r="F139" s="2" t="s">
        <v>3</v>
      </c>
      <c r="G139" s="2" t="s">
        <v>3</v>
      </c>
      <c r="H139" s="3">
        <v>2019</v>
      </c>
      <c r="I139" s="3">
        <v>2019</v>
      </c>
      <c r="J139" s="3">
        <v>1996</v>
      </c>
      <c r="K139" s="3">
        <v>73.05</v>
      </c>
      <c r="L139" s="3">
        <v>10</v>
      </c>
      <c r="M139" s="3">
        <v>4</v>
      </c>
      <c r="N139" s="3">
        <v>5</v>
      </c>
      <c r="O139" s="3">
        <v>5</v>
      </c>
      <c r="P139" s="3">
        <v>4</v>
      </c>
      <c r="Q139" s="2" t="s">
        <v>45</v>
      </c>
      <c r="R139" s="2" t="s">
        <v>157</v>
      </c>
      <c r="S139" s="2" t="s">
        <v>116</v>
      </c>
      <c r="T139" s="2" t="s">
        <v>41</v>
      </c>
      <c r="U139" s="2" t="s">
        <v>17</v>
      </c>
      <c r="V139" s="4" t="s">
        <v>9</v>
      </c>
    </row>
    <row r="140" spans="2:22" x14ac:dyDescent="0.3">
      <c r="B140" s="5" t="s">
        <v>274</v>
      </c>
      <c r="C140" s="7" t="s">
        <v>585</v>
      </c>
      <c r="D140" s="5" t="s">
        <v>123</v>
      </c>
      <c r="E140" s="7" t="s">
        <v>615</v>
      </c>
      <c r="F140" s="6" t="s">
        <v>24</v>
      </c>
      <c r="G140" s="6" t="s">
        <v>24</v>
      </c>
      <c r="H140" s="7">
        <v>2001</v>
      </c>
      <c r="I140" s="7">
        <v>2001</v>
      </c>
      <c r="J140" s="7">
        <v>7811</v>
      </c>
      <c r="K140" s="7">
        <v>264.47000000000003</v>
      </c>
      <c r="L140" s="7">
        <v>12.81</v>
      </c>
      <c r="M140" s="7">
        <v>5</v>
      </c>
      <c r="N140" s="7">
        <v>6</v>
      </c>
      <c r="O140" s="7">
        <v>7</v>
      </c>
      <c r="P140" s="7">
        <v>3</v>
      </c>
      <c r="Q140" s="6" t="s">
        <v>305</v>
      </c>
      <c r="R140" s="6" t="s">
        <v>26</v>
      </c>
      <c r="S140" s="6" t="s">
        <v>132</v>
      </c>
      <c r="T140" s="6" t="s">
        <v>68</v>
      </c>
      <c r="U140" s="6" t="s">
        <v>42</v>
      </c>
      <c r="V140" s="8" t="s">
        <v>36</v>
      </c>
    </row>
    <row r="141" spans="2:22" x14ac:dyDescent="0.3">
      <c r="B141" s="1" t="s">
        <v>318</v>
      </c>
      <c r="C141" s="3" t="s">
        <v>318</v>
      </c>
      <c r="D141" s="1" t="s">
        <v>319</v>
      </c>
      <c r="E141" s="3" t="s">
        <v>692</v>
      </c>
      <c r="F141" s="2" t="s">
        <v>48</v>
      </c>
      <c r="G141" s="2" t="s">
        <v>48</v>
      </c>
      <c r="H141" s="3">
        <v>2011</v>
      </c>
      <c r="I141" s="3">
        <v>2011</v>
      </c>
      <c r="J141" s="3">
        <v>9272</v>
      </c>
      <c r="K141" s="3">
        <v>156.9</v>
      </c>
      <c r="L141" s="3">
        <v>2.97</v>
      </c>
      <c r="M141" s="3">
        <v>4</v>
      </c>
      <c r="N141" s="3">
        <v>4</v>
      </c>
      <c r="O141" s="3">
        <v>5</v>
      </c>
      <c r="P141" s="3">
        <v>7</v>
      </c>
      <c r="Q141" s="2" t="s">
        <v>49</v>
      </c>
      <c r="R141" s="2" t="s">
        <v>154</v>
      </c>
      <c r="S141" s="2" t="s">
        <v>51</v>
      </c>
      <c r="T141" s="2" t="s">
        <v>106</v>
      </c>
      <c r="U141" s="2" t="s">
        <v>17</v>
      </c>
      <c r="V141" s="4" t="s">
        <v>9</v>
      </c>
    </row>
    <row r="142" spans="2:22" x14ac:dyDescent="0.3">
      <c r="B142" s="5" t="s">
        <v>320</v>
      </c>
      <c r="C142" s="7" t="s">
        <v>320</v>
      </c>
      <c r="D142" s="5" t="s">
        <v>321</v>
      </c>
      <c r="E142" s="7" t="s">
        <v>693</v>
      </c>
      <c r="F142" s="6" t="s">
        <v>24</v>
      </c>
      <c r="G142" s="6" t="s">
        <v>24</v>
      </c>
      <c r="H142" s="7">
        <v>1983</v>
      </c>
      <c r="I142" s="7">
        <v>1983</v>
      </c>
      <c r="J142" s="7">
        <v>9610</v>
      </c>
      <c r="K142" s="7">
        <v>245.42</v>
      </c>
      <c r="L142" s="7">
        <v>0.72</v>
      </c>
      <c r="M142" s="7">
        <v>8</v>
      </c>
      <c r="N142" s="7">
        <v>7</v>
      </c>
      <c r="O142" s="7">
        <v>8</v>
      </c>
      <c r="P142" s="7">
        <v>6</v>
      </c>
      <c r="Q142" s="6" t="s">
        <v>25</v>
      </c>
      <c r="R142" s="6" t="s">
        <v>66</v>
      </c>
      <c r="S142" s="6" t="s">
        <v>132</v>
      </c>
      <c r="T142" s="6" t="s">
        <v>16</v>
      </c>
      <c r="U142" s="6" t="s">
        <v>8</v>
      </c>
      <c r="V142" s="8" t="s">
        <v>36</v>
      </c>
    </row>
    <row r="143" spans="2:22" x14ac:dyDescent="0.3">
      <c r="B143" s="1" t="s">
        <v>322</v>
      </c>
      <c r="C143" s="3" t="s">
        <v>322</v>
      </c>
      <c r="D143" s="1" t="s">
        <v>323</v>
      </c>
      <c r="E143" s="3" t="s">
        <v>694</v>
      </c>
      <c r="F143" s="2" t="s">
        <v>81</v>
      </c>
      <c r="G143" s="2" t="s">
        <v>81</v>
      </c>
      <c r="H143" s="3">
        <v>1989</v>
      </c>
      <c r="I143" s="3">
        <v>1989</v>
      </c>
      <c r="J143" s="3">
        <v>6815</v>
      </c>
      <c r="K143" s="3">
        <v>348.35</v>
      </c>
      <c r="L143" s="3">
        <v>10.76</v>
      </c>
      <c r="M143" s="3">
        <v>7</v>
      </c>
      <c r="N143" s="3">
        <v>6</v>
      </c>
      <c r="O143" s="3">
        <v>7</v>
      </c>
      <c r="P143" s="3">
        <v>5</v>
      </c>
      <c r="Q143" s="2" t="s">
        <v>87</v>
      </c>
      <c r="R143" s="2" t="s">
        <v>104</v>
      </c>
      <c r="S143" s="2" t="s">
        <v>209</v>
      </c>
      <c r="T143" s="2" t="s">
        <v>166</v>
      </c>
      <c r="U143" s="2" t="s">
        <v>17</v>
      </c>
      <c r="V143" s="4" t="s">
        <v>36</v>
      </c>
    </row>
    <row r="144" spans="2:22" x14ac:dyDescent="0.3">
      <c r="B144" s="5" t="s">
        <v>324</v>
      </c>
      <c r="C144" s="7" t="s">
        <v>324</v>
      </c>
      <c r="D144" s="5" t="s">
        <v>325</v>
      </c>
      <c r="E144" s="7" t="s">
        <v>695</v>
      </c>
      <c r="F144" s="6" t="s">
        <v>81</v>
      </c>
      <c r="G144" s="6" t="s">
        <v>81</v>
      </c>
      <c r="H144" s="7">
        <v>2014</v>
      </c>
      <c r="I144" s="7">
        <v>2014</v>
      </c>
      <c r="J144" s="7">
        <v>5658</v>
      </c>
      <c r="K144" s="7">
        <v>277.67</v>
      </c>
      <c r="L144" s="7">
        <v>11.74</v>
      </c>
      <c r="M144" s="7">
        <v>9</v>
      </c>
      <c r="N144" s="7">
        <v>7</v>
      </c>
      <c r="O144" s="7">
        <v>8</v>
      </c>
      <c r="P144" s="7">
        <v>7</v>
      </c>
      <c r="Q144" s="6" t="s">
        <v>103</v>
      </c>
      <c r="R144" s="6" t="s">
        <v>88</v>
      </c>
      <c r="S144" s="6" t="s">
        <v>209</v>
      </c>
      <c r="T144" s="6" t="s">
        <v>111</v>
      </c>
      <c r="U144" s="6" t="s">
        <v>42</v>
      </c>
      <c r="V144" s="8" t="s">
        <v>36</v>
      </c>
    </row>
    <row r="145" spans="2:22" x14ac:dyDescent="0.3">
      <c r="B145" s="1" t="s">
        <v>324</v>
      </c>
      <c r="C145" s="3" t="s">
        <v>324</v>
      </c>
      <c r="D145" s="1" t="s">
        <v>325</v>
      </c>
      <c r="E145" s="3" t="s">
        <v>695</v>
      </c>
      <c r="F145" s="2" t="s">
        <v>81</v>
      </c>
      <c r="G145" s="2" t="s">
        <v>81</v>
      </c>
      <c r="H145" s="3">
        <v>2014</v>
      </c>
      <c r="I145" s="3">
        <v>2014</v>
      </c>
      <c r="J145" s="3">
        <v>5658</v>
      </c>
      <c r="K145" s="3">
        <v>277.67</v>
      </c>
      <c r="L145" s="3">
        <v>11.74</v>
      </c>
      <c r="M145" s="3">
        <v>9</v>
      </c>
      <c r="N145" s="3">
        <v>7</v>
      </c>
      <c r="O145" s="3">
        <v>8</v>
      </c>
      <c r="P145" s="3">
        <v>7</v>
      </c>
      <c r="Q145" s="2" t="s">
        <v>103</v>
      </c>
      <c r="R145" s="2" t="s">
        <v>88</v>
      </c>
      <c r="S145" s="2" t="s">
        <v>209</v>
      </c>
      <c r="T145" s="2" t="s">
        <v>111</v>
      </c>
      <c r="U145" s="2" t="s">
        <v>42</v>
      </c>
      <c r="V145" s="4" t="s">
        <v>36</v>
      </c>
    </row>
    <row r="146" spans="2:22" x14ac:dyDescent="0.3">
      <c r="B146" s="5" t="s">
        <v>326</v>
      </c>
      <c r="C146" s="7" t="s">
        <v>326</v>
      </c>
      <c r="D146" s="5" t="s">
        <v>307</v>
      </c>
      <c r="E146" s="7" t="s">
        <v>688</v>
      </c>
      <c r="F146" s="6" t="s">
        <v>3</v>
      </c>
      <c r="G146" s="6" t="s">
        <v>3</v>
      </c>
      <c r="H146" s="7">
        <v>1993</v>
      </c>
      <c r="I146" s="7">
        <v>1993</v>
      </c>
      <c r="J146" s="7">
        <v>8061</v>
      </c>
      <c r="K146" s="7">
        <v>165.35</v>
      </c>
      <c r="L146" s="7">
        <v>23.64</v>
      </c>
      <c r="M146" s="7">
        <v>6</v>
      </c>
      <c r="N146" s="7">
        <v>6</v>
      </c>
      <c r="O146" s="7">
        <v>8</v>
      </c>
      <c r="P146" s="7">
        <v>4</v>
      </c>
      <c r="Q146" s="6" t="s">
        <v>161</v>
      </c>
      <c r="R146" s="6" t="s">
        <v>77</v>
      </c>
      <c r="S146" s="6" t="s">
        <v>40</v>
      </c>
      <c r="T146" s="6" t="s">
        <v>21</v>
      </c>
      <c r="U146" s="6" t="s">
        <v>42</v>
      </c>
      <c r="V146" s="8" t="s">
        <v>18</v>
      </c>
    </row>
    <row r="147" spans="2:22" x14ac:dyDescent="0.3">
      <c r="B147" s="1" t="s">
        <v>327</v>
      </c>
      <c r="C147" s="3" t="s">
        <v>327</v>
      </c>
      <c r="D147" s="1" t="s">
        <v>328</v>
      </c>
      <c r="E147" s="3" t="s">
        <v>696</v>
      </c>
      <c r="F147" s="2" t="s">
        <v>12</v>
      </c>
      <c r="G147" s="2" t="s">
        <v>12</v>
      </c>
      <c r="H147" s="3">
        <v>1998</v>
      </c>
      <c r="I147" s="3">
        <v>1998</v>
      </c>
      <c r="J147" s="3">
        <v>1344</v>
      </c>
      <c r="K147" s="3">
        <v>179.72</v>
      </c>
      <c r="L147" s="3">
        <v>-0.88</v>
      </c>
      <c r="M147" s="3">
        <v>7</v>
      </c>
      <c r="N147" s="3">
        <v>7</v>
      </c>
      <c r="O147" s="3">
        <v>5</v>
      </c>
      <c r="P147" s="3">
        <v>7</v>
      </c>
      <c r="Q147" s="2" t="s">
        <v>13</v>
      </c>
      <c r="R147" s="2" t="s">
        <v>33</v>
      </c>
      <c r="S147" s="2" t="s">
        <v>56</v>
      </c>
      <c r="T147" s="2" t="s">
        <v>57</v>
      </c>
      <c r="U147" s="2" t="s">
        <v>42</v>
      </c>
      <c r="V147" s="4" t="s">
        <v>9</v>
      </c>
    </row>
    <row r="148" spans="2:22" x14ac:dyDescent="0.3">
      <c r="B148" s="5" t="s">
        <v>329</v>
      </c>
      <c r="C148" s="7" t="s">
        <v>329</v>
      </c>
      <c r="D148" s="5" t="s">
        <v>330</v>
      </c>
      <c r="E148" s="7" t="s">
        <v>697</v>
      </c>
      <c r="F148" s="6" t="s">
        <v>12</v>
      </c>
      <c r="G148" s="6" t="s">
        <v>12</v>
      </c>
      <c r="H148" s="7">
        <v>2013</v>
      </c>
      <c r="I148" s="7">
        <v>2013</v>
      </c>
      <c r="J148" s="7">
        <v>3747</v>
      </c>
      <c r="K148" s="7">
        <v>322.58999999999997</v>
      </c>
      <c r="L148" s="7">
        <v>7.21</v>
      </c>
      <c r="M148" s="7">
        <v>4</v>
      </c>
      <c r="N148" s="7">
        <v>2</v>
      </c>
      <c r="O148" s="7">
        <v>6</v>
      </c>
      <c r="P148" s="7">
        <v>4</v>
      </c>
      <c r="Q148" s="6" t="s">
        <v>13</v>
      </c>
      <c r="R148" s="6" t="s">
        <v>152</v>
      </c>
      <c r="S148" s="6" t="s">
        <v>56</v>
      </c>
      <c r="T148" s="6" t="s">
        <v>35</v>
      </c>
      <c r="U148" s="6" t="s">
        <v>29</v>
      </c>
      <c r="V148" s="8" t="s">
        <v>18</v>
      </c>
    </row>
    <row r="149" spans="2:22" x14ac:dyDescent="0.3">
      <c r="B149" s="1" t="s">
        <v>331</v>
      </c>
      <c r="C149" s="3" t="s">
        <v>331</v>
      </c>
      <c r="D149" s="1" t="s">
        <v>332</v>
      </c>
      <c r="E149" s="3" t="s">
        <v>698</v>
      </c>
      <c r="F149" s="2" t="s">
        <v>24</v>
      </c>
      <c r="G149" s="2" t="s">
        <v>24</v>
      </c>
      <c r="H149" s="3">
        <v>1998</v>
      </c>
      <c r="I149" s="3">
        <v>1998</v>
      </c>
      <c r="J149" s="3">
        <v>5312</v>
      </c>
      <c r="K149" s="3">
        <v>149.85</v>
      </c>
      <c r="L149" s="3">
        <v>23.02</v>
      </c>
      <c r="M149" s="3">
        <v>4</v>
      </c>
      <c r="N149" s="3">
        <v>2</v>
      </c>
      <c r="O149" s="3">
        <v>8</v>
      </c>
      <c r="P149" s="3">
        <v>6</v>
      </c>
      <c r="Q149" s="2" t="s">
        <v>141</v>
      </c>
      <c r="R149" s="2" t="s">
        <v>195</v>
      </c>
      <c r="S149" s="2" t="s">
        <v>132</v>
      </c>
      <c r="T149" s="2" t="s">
        <v>68</v>
      </c>
      <c r="U149" s="2" t="s">
        <v>29</v>
      </c>
      <c r="V149" s="4" t="s">
        <v>18</v>
      </c>
    </row>
    <row r="150" spans="2:22" x14ac:dyDescent="0.3">
      <c r="B150" s="5" t="s">
        <v>333</v>
      </c>
      <c r="C150" s="7" t="s">
        <v>333</v>
      </c>
      <c r="D150" s="5" t="s">
        <v>334</v>
      </c>
      <c r="E150" s="7" t="s">
        <v>699</v>
      </c>
      <c r="F150" s="6" t="s">
        <v>81</v>
      </c>
      <c r="G150" s="6" t="s">
        <v>81</v>
      </c>
      <c r="H150" s="7">
        <v>1991</v>
      </c>
      <c r="I150" s="7">
        <v>1991</v>
      </c>
      <c r="J150" s="7">
        <v>4792</v>
      </c>
      <c r="K150" s="7">
        <v>439.6</v>
      </c>
      <c r="L150" s="7">
        <v>21.68</v>
      </c>
      <c r="M150" s="7">
        <v>4</v>
      </c>
      <c r="N150" s="7">
        <v>4</v>
      </c>
      <c r="O150" s="7">
        <v>7</v>
      </c>
      <c r="P150" s="7">
        <v>6</v>
      </c>
      <c r="Q150" s="6" t="s">
        <v>87</v>
      </c>
      <c r="R150" s="6" t="s">
        <v>139</v>
      </c>
      <c r="S150" s="6" t="s">
        <v>89</v>
      </c>
      <c r="T150" s="6" t="s">
        <v>90</v>
      </c>
      <c r="U150" s="6" t="s">
        <v>17</v>
      </c>
      <c r="V150" s="8" t="s">
        <v>36</v>
      </c>
    </row>
    <row r="151" spans="2:22" x14ac:dyDescent="0.3">
      <c r="B151" s="1" t="s">
        <v>335</v>
      </c>
      <c r="C151" s="3" t="s">
        <v>335</v>
      </c>
      <c r="D151" s="1" t="s">
        <v>336</v>
      </c>
      <c r="E151" s="3" t="s">
        <v>700</v>
      </c>
      <c r="F151" s="2" t="s">
        <v>81</v>
      </c>
      <c r="G151" s="2" t="s">
        <v>81</v>
      </c>
      <c r="H151" s="3">
        <v>1997</v>
      </c>
      <c r="I151" s="3">
        <v>1997</v>
      </c>
      <c r="J151" s="3">
        <v>3209</v>
      </c>
      <c r="K151" s="3">
        <v>406.32</v>
      </c>
      <c r="L151" s="3">
        <v>12.03</v>
      </c>
      <c r="M151" s="3">
        <v>6</v>
      </c>
      <c r="N151" s="3">
        <v>3</v>
      </c>
      <c r="O151" s="3">
        <v>8</v>
      </c>
      <c r="P151" s="3">
        <v>5</v>
      </c>
      <c r="Q151" s="2" t="s">
        <v>103</v>
      </c>
      <c r="R151" s="2" t="s">
        <v>104</v>
      </c>
      <c r="S151" s="2" t="s">
        <v>82</v>
      </c>
      <c r="T151" s="2" t="s">
        <v>166</v>
      </c>
      <c r="U151" s="2" t="s">
        <v>42</v>
      </c>
      <c r="V151" s="4" t="s">
        <v>18</v>
      </c>
    </row>
    <row r="152" spans="2:22" x14ac:dyDescent="0.3">
      <c r="B152" s="5" t="s">
        <v>337</v>
      </c>
      <c r="C152" s="7" t="s">
        <v>337</v>
      </c>
      <c r="D152" s="5" t="s">
        <v>268</v>
      </c>
      <c r="E152" s="7" t="s">
        <v>672</v>
      </c>
      <c r="F152" s="6" t="s">
        <v>48</v>
      </c>
      <c r="G152" s="6" t="s">
        <v>48</v>
      </c>
      <c r="H152" s="7">
        <v>2020</v>
      </c>
      <c r="I152" s="7">
        <v>2020</v>
      </c>
      <c r="J152" s="7">
        <v>6693</v>
      </c>
      <c r="K152" s="7">
        <v>415.23</v>
      </c>
      <c r="L152" s="7">
        <v>23.07</v>
      </c>
      <c r="M152" s="7">
        <v>8</v>
      </c>
      <c r="N152" s="7">
        <v>4</v>
      </c>
      <c r="O152" s="7">
        <v>3</v>
      </c>
      <c r="P152" s="7">
        <v>5</v>
      </c>
      <c r="Q152" s="6" t="s">
        <v>49</v>
      </c>
      <c r="R152" s="6" t="s">
        <v>14</v>
      </c>
      <c r="S152" s="6" t="s">
        <v>218</v>
      </c>
      <c r="T152" s="6" t="s">
        <v>62</v>
      </c>
      <c r="U152" s="6" t="s">
        <v>42</v>
      </c>
      <c r="V152" s="8" t="s">
        <v>36</v>
      </c>
    </row>
    <row r="153" spans="2:22" x14ac:dyDescent="0.3">
      <c r="B153" s="1" t="s">
        <v>338</v>
      </c>
      <c r="C153" s="3" t="s">
        <v>338</v>
      </c>
      <c r="D153" s="1" t="s">
        <v>189</v>
      </c>
      <c r="E153" s="3" t="s">
        <v>640</v>
      </c>
      <c r="F153" s="2" t="s">
        <v>81</v>
      </c>
      <c r="G153" s="2" t="s">
        <v>81</v>
      </c>
      <c r="H153" s="3">
        <v>1995</v>
      </c>
      <c r="I153" s="3">
        <v>1995</v>
      </c>
      <c r="J153" s="3">
        <v>7369</v>
      </c>
      <c r="K153" s="3">
        <v>379.34</v>
      </c>
      <c r="L153" s="3">
        <v>-3.14</v>
      </c>
      <c r="M153" s="3">
        <v>6</v>
      </c>
      <c r="N153" s="3">
        <v>4</v>
      </c>
      <c r="O153" s="3">
        <v>7</v>
      </c>
      <c r="P153" s="3">
        <v>7</v>
      </c>
      <c r="Q153" s="2" t="s">
        <v>82</v>
      </c>
      <c r="R153" s="2" t="s">
        <v>83</v>
      </c>
      <c r="S153" s="2" t="s">
        <v>89</v>
      </c>
      <c r="T153" s="2" t="s">
        <v>166</v>
      </c>
      <c r="U153" s="2" t="s">
        <v>29</v>
      </c>
      <c r="V153" s="4" t="s">
        <v>36</v>
      </c>
    </row>
    <row r="154" spans="2:22" x14ac:dyDescent="0.3">
      <c r="B154" s="5" t="s">
        <v>339</v>
      </c>
      <c r="C154" s="7" t="s">
        <v>339</v>
      </c>
      <c r="D154" s="5" t="s">
        <v>340</v>
      </c>
      <c r="E154" s="7" t="s">
        <v>701</v>
      </c>
      <c r="F154" s="6" t="s">
        <v>3</v>
      </c>
      <c r="G154" s="6" t="s">
        <v>3</v>
      </c>
      <c r="H154" s="7">
        <v>1990</v>
      </c>
      <c r="I154" s="7">
        <v>1990</v>
      </c>
      <c r="J154" s="7">
        <v>6692</v>
      </c>
      <c r="K154" s="7">
        <v>346.18</v>
      </c>
      <c r="L154" s="7">
        <v>9.35</v>
      </c>
      <c r="M154" s="7">
        <v>9</v>
      </c>
      <c r="N154" s="7">
        <v>4</v>
      </c>
      <c r="O154" s="7">
        <v>8</v>
      </c>
      <c r="P154" s="7">
        <v>2</v>
      </c>
      <c r="Q154" s="6" t="s">
        <v>161</v>
      </c>
      <c r="R154" s="6" t="s">
        <v>157</v>
      </c>
      <c r="S154" s="6" t="s">
        <v>116</v>
      </c>
      <c r="T154" s="6" t="s">
        <v>41</v>
      </c>
      <c r="U154" s="6" t="s">
        <v>29</v>
      </c>
      <c r="V154" s="8" t="s">
        <v>18</v>
      </c>
    </row>
    <row r="155" spans="2:22" x14ac:dyDescent="0.3">
      <c r="B155" s="1" t="s">
        <v>341</v>
      </c>
      <c r="C155" s="3" t="s">
        <v>341</v>
      </c>
      <c r="D155" s="1" t="s">
        <v>304</v>
      </c>
      <c r="E155" s="3" t="s">
        <v>687</v>
      </c>
      <c r="F155" s="2" t="s">
        <v>3</v>
      </c>
      <c r="G155" s="2" t="s">
        <v>3</v>
      </c>
      <c r="H155" s="3">
        <v>2006</v>
      </c>
      <c r="I155" s="3">
        <v>2006</v>
      </c>
      <c r="J155" s="3">
        <v>9048</v>
      </c>
      <c r="K155" s="3">
        <v>457.27</v>
      </c>
      <c r="L155" s="3">
        <v>22.52</v>
      </c>
      <c r="M155" s="3">
        <v>8</v>
      </c>
      <c r="N155" s="3">
        <v>7</v>
      </c>
      <c r="O155" s="3">
        <v>4</v>
      </c>
      <c r="P155" s="3">
        <v>3</v>
      </c>
      <c r="Q155" s="2" t="s">
        <v>45</v>
      </c>
      <c r="R155" s="2" t="s">
        <v>77</v>
      </c>
      <c r="S155" s="2" t="s">
        <v>40</v>
      </c>
      <c r="T155" s="2" t="s">
        <v>78</v>
      </c>
      <c r="U155" s="2" t="s">
        <v>8</v>
      </c>
      <c r="V155" s="4" t="s">
        <v>36</v>
      </c>
    </row>
    <row r="156" spans="2:22" x14ac:dyDescent="0.3">
      <c r="B156" s="5" t="s">
        <v>342</v>
      </c>
      <c r="C156" s="7" t="s">
        <v>342</v>
      </c>
      <c r="D156" s="5" t="s">
        <v>2</v>
      </c>
      <c r="E156" s="7" t="s">
        <v>591</v>
      </c>
      <c r="F156" s="6" t="s">
        <v>48</v>
      </c>
      <c r="G156" s="6" t="s">
        <v>48</v>
      </c>
      <c r="H156" s="7">
        <v>2012</v>
      </c>
      <c r="I156" s="7">
        <v>2012</v>
      </c>
      <c r="J156" s="7">
        <v>3362</v>
      </c>
      <c r="K156" s="7">
        <v>290.62</v>
      </c>
      <c r="L156" s="7">
        <v>21.97</v>
      </c>
      <c r="M156" s="7">
        <v>5</v>
      </c>
      <c r="N156" s="7">
        <v>3</v>
      </c>
      <c r="O156" s="7">
        <v>5</v>
      </c>
      <c r="P156" s="7">
        <v>6</v>
      </c>
      <c r="Q156" s="6" t="s">
        <v>121</v>
      </c>
      <c r="R156" s="6" t="s">
        <v>50</v>
      </c>
      <c r="S156" s="6" t="s">
        <v>218</v>
      </c>
      <c r="T156" s="6" t="s">
        <v>62</v>
      </c>
      <c r="U156" s="6" t="s">
        <v>8</v>
      </c>
      <c r="V156" s="8" t="s">
        <v>36</v>
      </c>
    </row>
    <row r="157" spans="2:22" x14ac:dyDescent="0.3">
      <c r="B157" s="1" t="s">
        <v>343</v>
      </c>
      <c r="C157" s="3" t="s">
        <v>343</v>
      </c>
      <c r="D157" s="1" t="s">
        <v>252</v>
      </c>
      <c r="E157" s="3" t="s">
        <v>665</v>
      </c>
      <c r="F157" s="2" t="s">
        <v>81</v>
      </c>
      <c r="G157" s="2" t="s">
        <v>81</v>
      </c>
      <c r="H157" s="3">
        <v>1988</v>
      </c>
      <c r="I157" s="3">
        <v>1988</v>
      </c>
      <c r="J157" s="3">
        <v>8459</v>
      </c>
      <c r="K157" s="3">
        <v>213.56</v>
      </c>
      <c r="L157" s="3">
        <v>17.37</v>
      </c>
      <c r="M157" s="3">
        <v>8</v>
      </c>
      <c r="N157" s="3">
        <v>2</v>
      </c>
      <c r="O157" s="3">
        <v>7</v>
      </c>
      <c r="P157" s="3">
        <v>5</v>
      </c>
      <c r="Q157" s="2" t="s">
        <v>103</v>
      </c>
      <c r="R157" s="2" t="s">
        <v>83</v>
      </c>
      <c r="S157" s="2" t="s">
        <v>145</v>
      </c>
      <c r="T157" s="2" t="s">
        <v>166</v>
      </c>
      <c r="U157" s="2" t="s">
        <v>8</v>
      </c>
      <c r="V157" s="4" t="s">
        <v>18</v>
      </c>
    </row>
    <row r="158" spans="2:22" x14ac:dyDescent="0.3">
      <c r="B158" s="5" t="s">
        <v>344</v>
      </c>
      <c r="C158" s="7" t="s">
        <v>344</v>
      </c>
      <c r="D158" s="5" t="s">
        <v>345</v>
      </c>
      <c r="E158" s="7" t="s">
        <v>702</v>
      </c>
      <c r="F158" s="6" t="s">
        <v>12</v>
      </c>
      <c r="G158" s="6" t="s">
        <v>12</v>
      </c>
      <c r="H158" s="7">
        <v>2007</v>
      </c>
      <c r="I158" s="7">
        <v>2007</v>
      </c>
      <c r="J158" s="7">
        <v>5694</v>
      </c>
      <c r="K158" s="7">
        <v>353.19</v>
      </c>
      <c r="L158" s="7">
        <v>17.97</v>
      </c>
      <c r="M158" s="7">
        <v>8</v>
      </c>
      <c r="N158" s="7">
        <v>2</v>
      </c>
      <c r="O158" s="7">
        <v>3</v>
      </c>
      <c r="P158" s="7">
        <v>5</v>
      </c>
      <c r="Q158" s="6" t="s">
        <v>235</v>
      </c>
      <c r="R158" s="6" t="s">
        <v>14</v>
      </c>
      <c r="S158" s="6" t="s">
        <v>212</v>
      </c>
      <c r="T158" s="6" t="s">
        <v>16</v>
      </c>
      <c r="U158" s="6" t="s">
        <v>29</v>
      </c>
      <c r="V158" s="8" t="s">
        <v>18</v>
      </c>
    </row>
    <row r="159" spans="2:22" x14ac:dyDescent="0.3">
      <c r="B159" s="1" t="s">
        <v>346</v>
      </c>
      <c r="C159" s="3" t="s">
        <v>346</v>
      </c>
      <c r="D159" s="1" t="s">
        <v>347</v>
      </c>
      <c r="E159" s="3" t="s">
        <v>703</v>
      </c>
      <c r="F159" s="2" t="s">
        <v>81</v>
      </c>
      <c r="G159" s="2" t="s">
        <v>81</v>
      </c>
      <c r="H159" s="3">
        <v>2008</v>
      </c>
      <c r="I159" s="3">
        <v>2008</v>
      </c>
      <c r="J159" s="3">
        <v>6234</v>
      </c>
      <c r="K159" s="3">
        <v>194.07</v>
      </c>
      <c r="L159" s="3">
        <v>16.84</v>
      </c>
      <c r="M159" s="3">
        <v>9</v>
      </c>
      <c r="N159" s="3">
        <v>7</v>
      </c>
      <c r="O159" s="3">
        <v>7</v>
      </c>
      <c r="P159" s="3">
        <v>3</v>
      </c>
      <c r="Q159" s="2" t="s">
        <v>103</v>
      </c>
      <c r="R159" s="2" t="s">
        <v>83</v>
      </c>
      <c r="S159" s="2" t="s">
        <v>209</v>
      </c>
      <c r="T159" s="2" t="s">
        <v>90</v>
      </c>
      <c r="U159" s="2" t="s">
        <v>29</v>
      </c>
      <c r="V159" s="4" t="s">
        <v>18</v>
      </c>
    </row>
    <row r="160" spans="2:22" x14ac:dyDescent="0.3">
      <c r="B160" s="5" t="s">
        <v>348</v>
      </c>
      <c r="C160" s="7" t="s">
        <v>348</v>
      </c>
      <c r="D160" s="5" t="s">
        <v>349</v>
      </c>
      <c r="E160" s="7" t="s">
        <v>704</v>
      </c>
      <c r="F160" s="6" t="s">
        <v>12</v>
      </c>
      <c r="G160" s="6" t="s">
        <v>12</v>
      </c>
      <c r="H160" s="7">
        <v>1999</v>
      </c>
      <c r="I160" s="7">
        <v>1999</v>
      </c>
      <c r="J160" s="7">
        <v>7635</v>
      </c>
      <c r="K160" s="7">
        <v>340.01</v>
      </c>
      <c r="L160" s="7">
        <v>3.27</v>
      </c>
      <c r="M160" s="7">
        <v>8</v>
      </c>
      <c r="N160" s="7">
        <v>5</v>
      </c>
      <c r="O160" s="7">
        <v>7</v>
      </c>
      <c r="P160" s="7">
        <v>5</v>
      </c>
      <c r="Q160" s="6" t="s">
        <v>95</v>
      </c>
      <c r="R160" s="6" t="s">
        <v>33</v>
      </c>
      <c r="S160" s="6" t="s">
        <v>212</v>
      </c>
      <c r="T160" s="6" t="s">
        <v>57</v>
      </c>
      <c r="U160" s="6" t="s">
        <v>29</v>
      </c>
      <c r="V160" s="8" t="s">
        <v>18</v>
      </c>
    </row>
    <row r="161" spans="2:22" x14ac:dyDescent="0.3">
      <c r="B161" s="1" t="s">
        <v>350</v>
      </c>
      <c r="C161" s="3" t="s">
        <v>350</v>
      </c>
      <c r="D161" s="1" t="s">
        <v>2</v>
      </c>
      <c r="E161" s="3" t="s">
        <v>591</v>
      </c>
      <c r="F161" s="2" t="s">
        <v>81</v>
      </c>
      <c r="G161" s="2" t="s">
        <v>81</v>
      </c>
      <c r="H161" s="3">
        <v>2019</v>
      </c>
      <c r="I161" s="3">
        <v>2019</v>
      </c>
      <c r="J161" s="3">
        <v>306</v>
      </c>
      <c r="K161" s="3">
        <v>127.93</v>
      </c>
      <c r="L161" s="3">
        <v>8.17</v>
      </c>
      <c r="M161" s="3">
        <v>4</v>
      </c>
      <c r="N161" s="3">
        <v>2</v>
      </c>
      <c r="O161" s="3">
        <v>7</v>
      </c>
      <c r="P161" s="3">
        <v>2</v>
      </c>
      <c r="Q161" s="2" t="s">
        <v>190</v>
      </c>
      <c r="R161" s="2" t="s">
        <v>83</v>
      </c>
      <c r="S161" s="2" t="s">
        <v>209</v>
      </c>
      <c r="T161" s="2" t="s">
        <v>84</v>
      </c>
      <c r="U161" s="2" t="s">
        <v>17</v>
      </c>
      <c r="V161" s="4" t="s">
        <v>18</v>
      </c>
    </row>
    <row r="162" spans="2:22" x14ac:dyDescent="0.3">
      <c r="B162" s="5" t="s">
        <v>351</v>
      </c>
      <c r="C162" s="7" t="s">
        <v>351</v>
      </c>
      <c r="D162" s="5" t="s">
        <v>352</v>
      </c>
      <c r="E162" s="7" t="s">
        <v>705</v>
      </c>
      <c r="F162" s="6" t="s">
        <v>12</v>
      </c>
      <c r="G162" s="6" t="s">
        <v>12</v>
      </c>
      <c r="H162" s="7">
        <v>1988</v>
      </c>
      <c r="I162" s="7">
        <v>1988</v>
      </c>
      <c r="J162" s="7">
        <v>8305</v>
      </c>
      <c r="K162" s="7">
        <v>496.81</v>
      </c>
      <c r="L162" s="7">
        <v>24.57</v>
      </c>
      <c r="M162" s="7">
        <v>5</v>
      </c>
      <c r="N162" s="7">
        <v>7</v>
      </c>
      <c r="O162" s="7">
        <v>7</v>
      </c>
      <c r="P162" s="7">
        <v>4</v>
      </c>
      <c r="Q162" s="6" t="s">
        <v>55</v>
      </c>
      <c r="R162" s="6" t="s">
        <v>14</v>
      </c>
      <c r="S162" s="6" t="s">
        <v>56</v>
      </c>
      <c r="T162" s="6" t="s">
        <v>57</v>
      </c>
      <c r="U162" s="6" t="s">
        <v>29</v>
      </c>
      <c r="V162" s="8" t="s">
        <v>36</v>
      </c>
    </row>
    <row r="163" spans="2:22" x14ac:dyDescent="0.3">
      <c r="B163" s="1" t="s">
        <v>353</v>
      </c>
      <c r="C163" s="3" t="s">
        <v>353</v>
      </c>
      <c r="D163" s="1" t="s">
        <v>118</v>
      </c>
      <c r="E163" s="3" t="s">
        <v>613</v>
      </c>
      <c r="F163" s="2" t="s">
        <v>81</v>
      </c>
      <c r="G163" s="2" t="s">
        <v>81</v>
      </c>
      <c r="H163" s="3">
        <v>1999</v>
      </c>
      <c r="I163" s="3">
        <v>1999</v>
      </c>
      <c r="J163" s="3">
        <v>4558</v>
      </c>
      <c r="K163" s="3">
        <v>39.869999999999997</v>
      </c>
      <c r="L163" s="3">
        <v>18.57</v>
      </c>
      <c r="M163" s="3">
        <v>8</v>
      </c>
      <c r="N163" s="3">
        <v>7</v>
      </c>
      <c r="O163" s="3">
        <v>4</v>
      </c>
      <c r="P163" s="3">
        <v>7</v>
      </c>
      <c r="Q163" s="2" t="s">
        <v>190</v>
      </c>
      <c r="R163" s="2" t="s">
        <v>88</v>
      </c>
      <c r="S163" s="2" t="s">
        <v>82</v>
      </c>
      <c r="T163" s="2" t="s">
        <v>166</v>
      </c>
      <c r="U163" s="2" t="s">
        <v>17</v>
      </c>
      <c r="V163" s="4" t="s">
        <v>9</v>
      </c>
    </row>
    <row r="164" spans="2:22" x14ac:dyDescent="0.3">
      <c r="B164" s="5" t="s">
        <v>354</v>
      </c>
      <c r="C164" s="7" t="s">
        <v>354</v>
      </c>
      <c r="D164" s="5" t="s">
        <v>355</v>
      </c>
      <c r="E164" s="7" t="s">
        <v>706</v>
      </c>
      <c r="F164" s="6" t="s">
        <v>81</v>
      </c>
      <c r="G164" s="6" t="s">
        <v>81</v>
      </c>
      <c r="H164" s="7">
        <v>1989</v>
      </c>
      <c r="I164" s="7">
        <v>1989</v>
      </c>
      <c r="J164" s="7">
        <v>4963</v>
      </c>
      <c r="K164" s="7">
        <v>194.47</v>
      </c>
      <c r="L164" s="7">
        <v>24.03</v>
      </c>
      <c r="M164" s="7">
        <v>8</v>
      </c>
      <c r="N164" s="7">
        <v>5</v>
      </c>
      <c r="O164" s="7">
        <v>4</v>
      </c>
      <c r="P164" s="7">
        <v>3</v>
      </c>
      <c r="Q164" s="6" t="s">
        <v>103</v>
      </c>
      <c r="R164" s="6" t="s">
        <v>104</v>
      </c>
      <c r="S164" s="6" t="s">
        <v>145</v>
      </c>
      <c r="T164" s="6" t="s">
        <v>84</v>
      </c>
      <c r="U164" s="6" t="s">
        <v>17</v>
      </c>
      <c r="V164" s="8" t="s">
        <v>18</v>
      </c>
    </row>
    <row r="165" spans="2:22" x14ac:dyDescent="0.3">
      <c r="B165" s="1" t="s">
        <v>356</v>
      </c>
      <c r="C165" s="3" t="s">
        <v>356</v>
      </c>
      <c r="D165" s="1" t="s">
        <v>357</v>
      </c>
      <c r="E165" s="3" t="s">
        <v>707</v>
      </c>
      <c r="F165" s="2" t="s">
        <v>24</v>
      </c>
      <c r="G165" s="2" t="s">
        <v>24</v>
      </c>
      <c r="H165" s="3">
        <v>2004</v>
      </c>
      <c r="I165" s="3">
        <v>2004</v>
      </c>
      <c r="J165" s="3">
        <v>4028</v>
      </c>
      <c r="K165" s="3">
        <v>134.94999999999999</v>
      </c>
      <c r="L165" s="3">
        <v>6.32</v>
      </c>
      <c r="M165" s="3">
        <v>6</v>
      </c>
      <c r="N165" s="3">
        <v>7</v>
      </c>
      <c r="O165" s="3">
        <v>3</v>
      </c>
      <c r="P165" s="3">
        <v>5</v>
      </c>
      <c r="Q165" s="2" t="s">
        <v>305</v>
      </c>
      <c r="R165" s="2" t="s">
        <v>195</v>
      </c>
      <c r="S165" s="2" t="s">
        <v>132</v>
      </c>
      <c r="T165" s="2" t="s">
        <v>16</v>
      </c>
      <c r="U165" s="2" t="s">
        <v>42</v>
      </c>
      <c r="V165" s="4" t="s">
        <v>96</v>
      </c>
    </row>
    <row r="166" spans="2:22" x14ac:dyDescent="0.3">
      <c r="B166" s="5" t="s">
        <v>358</v>
      </c>
      <c r="C166" s="7" t="s">
        <v>358</v>
      </c>
      <c r="D166" s="5" t="s">
        <v>359</v>
      </c>
      <c r="E166" s="7" t="s">
        <v>708</v>
      </c>
      <c r="F166" s="6" t="s">
        <v>24</v>
      </c>
      <c r="G166" s="6" t="s">
        <v>24</v>
      </c>
      <c r="H166" s="7">
        <v>2017</v>
      </c>
      <c r="I166" s="7">
        <v>2017</v>
      </c>
      <c r="J166" s="7">
        <v>9206</v>
      </c>
      <c r="K166" s="7">
        <v>116.34</v>
      </c>
      <c r="L166" s="7">
        <v>15.87</v>
      </c>
      <c r="M166" s="7">
        <v>5</v>
      </c>
      <c r="N166" s="7">
        <v>4</v>
      </c>
      <c r="O166" s="7">
        <v>5</v>
      </c>
      <c r="P166" s="7">
        <v>2</v>
      </c>
      <c r="Q166" s="6" t="s">
        <v>141</v>
      </c>
      <c r="R166" s="6" t="s">
        <v>66</v>
      </c>
      <c r="S166" s="6" t="s">
        <v>93</v>
      </c>
      <c r="T166" s="6" t="s">
        <v>68</v>
      </c>
      <c r="U166" s="6" t="s">
        <v>29</v>
      </c>
      <c r="V166" s="8" t="s">
        <v>18</v>
      </c>
    </row>
    <row r="167" spans="2:22" x14ac:dyDescent="0.3">
      <c r="B167" s="1" t="s">
        <v>360</v>
      </c>
      <c r="C167" s="3" t="s">
        <v>360</v>
      </c>
      <c r="D167" s="1" t="s">
        <v>361</v>
      </c>
      <c r="E167" s="3" t="s">
        <v>709</v>
      </c>
      <c r="F167" s="2" t="s">
        <v>24</v>
      </c>
      <c r="G167" s="2" t="s">
        <v>24</v>
      </c>
      <c r="H167" s="3">
        <v>2015</v>
      </c>
      <c r="I167" s="3">
        <v>2015</v>
      </c>
      <c r="J167" s="3">
        <v>5319</v>
      </c>
      <c r="K167" s="3">
        <v>390</v>
      </c>
      <c r="L167" s="3">
        <v>8.98</v>
      </c>
      <c r="M167" s="3">
        <v>7</v>
      </c>
      <c r="N167" s="3">
        <v>5</v>
      </c>
      <c r="O167" s="3">
        <v>7</v>
      </c>
      <c r="P167" s="3">
        <v>7</v>
      </c>
      <c r="Q167" s="2" t="s">
        <v>305</v>
      </c>
      <c r="R167" s="2" t="s">
        <v>26</v>
      </c>
      <c r="S167" s="2" t="s">
        <v>67</v>
      </c>
      <c r="T167" s="2" t="s">
        <v>28</v>
      </c>
      <c r="U167" s="2" t="s">
        <v>17</v>
      </c>
      <c r="V167" s="4" t="s">
        <v>36</v>
      </c>
    </row>
    <row r="168" spans="2:22" x14ac:dyDescent="0.3">
      <c r="B168" s="5" t="s">
        <v>362</v>
      </c>
      <c r="C168" s="7" t="s">
        <v>362</v>
      </c>
      <c r="D168" s="5" t="s">
        <v>347</v>
      </c>
      <c r="E168" s="7" t="s">
        <v>703</v>
      </c>
      <c r="F168" s="6" t="s">
        <v>24</v>
      </c>
      <c r="G168" s="6" t="s">
        <v>24</v>
      </c>
      <c r="H168" s="7">
        <v>2003</v>
      </c>
      <c r="I168" s="7">
        <v>2003</v>
      </c>
      <c r="J168" s="7">
        <v>5176</v>
      </c>
      <c r="K168" s="7">
        <v>212.83</v>
      </c>
      <c r="L168" s="7">
        <v>0.89</v>
      </c>
      <c r="M168" s="7">
        <v>8</v>
      </c>
      <c r="N168" s="7">
        <v>3</v>
      </c>
      <c r="O168" s="7">
        <v>8</v>
      </c>
      <c r="P168" s="7">
        <v>3</v>
      </c>
      <c r="Q168" s="6" t="s">
        <v>60</v>
      </c>
      <c r="R168" s="6" t="s">
        <v>26</v>
      </c>
      <c r="S168" s="6" t="s">
        <v>27</v>
      </c>
      <c r="T168" s="6" t="s">
        <v>28</v>
      </c>
      <c r="U168" s="6" t="s">
        <v>29</v>
      </c>
      <c r="V168" s="8" t="s">
        <v>18</v>
      </c>
    </row>
    <row r="169" spans="2:22" x14ac:dyDescent="0.3">
      <c r="B169" s="1" t="s">
        <v>363</v>
      </c>
      <c r="C169" s="3" t="s">
        <v>363</v>
      </c>
      <c r="D169" s="1" t="s">
        <v>364</v>
      </c>
      <c r="E169" s="3" t="s">
        <v>710</v>
      </c>
      <c r="F169" s="2" t="s">
        <v>48</v>
      </c>
      <c r="G169" s="2" t="s">
        <v>48</v>
      </c>
      <c r="H169" s="3">
        <v>1995</v>
      </c>
      <c r="I169" s="3">
        <v>1995</v>
      </c>
      <c r="J169" s="3">
        <v>8230</v>
      </c>
      <c r="K169" s="3">
        <v>279.81</v>
      </c>
      <c r="L169" s="3">
        <v>-0.8</v>
      </c>
      <c r="M169" s="3">
        <v>9</v>
      </c>
      <c r="N169" s="3">
        <v>4</v>
      </c>
      <c r="O169" s="3">
        <v>5</v>
      </c>
      <c r="P169" s="3">
        <v>5</v>
      </c>
      <c r="Q169" s="2" t="s">
        <v>121</v>
      </c>
      <c r="R169" s="2" t="s">
        <v>154</v>
      </c>
      <c r="S169" s="2" t="s">
        <v>218</v>
      </c>
      <c r="T169" s="2" t="s">
        <v>52</v>
      </c>
      <c r="U169" s="2" t="s">
        <v>29</v>
      </c>
      <c r="V169" s="4" t="s">
        <v>18</v>
      </c>
    </row>
    <row r="170" spans="2:22" x14ac:dyDescent="0.3">
      <c r="B170" s="5" t="s">
        <v>365</v>
      </c>
      <c r="C170" s="7" t="s">
        <v>365</v>
      </c>
      <c r="D170" s="5" t="s">
        <v>290</v>
      </c>
      <c r="E170" s="7" t="s">
        <v>681</v>
      </c>
      <c r="F170" s="6" t="s">
        <v>24</v>
      </c>
      <c r="G170" s="6" t="s">
        <v>24</v>
      </c>
      <c r="H170" s="7">
        <v>2014</v>
      </c>
      <c r="I170" s="7">
        <v>2014</v>
      </c>
      <c r="J170" s="7">
        <v>1012</v>
      </c>
      <c r="K170" s="7">
        <v>266.73</v>
      </c>
      <c r="L170" s="7">
        <v>-4.7300000000000004</v>
      </c>
      <c r="M170" s="7">
        <v>4</v>
      </c>
      <c r="N170" s="7">
        <v>7</v>
      </c>
      <c r="O170" s="7">
        <v>3</v>
      </c>
      <c r="P170" s="7">
        <v>2</v>
      </c>
      <c r="Q170" s="6" t="s">
        <v>25</v>
      </c>
      <c r="R170" s="6" t="s">
        <v>66</v>
      </c>
      <c r="S170" s="6" t="s">
        <v>132</v>
      </c>
      <c r="T170" s="6" t="s">
        <v>16</v>
      </c>
      <c r="U170" s="6" t="s">
        <v>29</v>
      </c>
      <c r="V170" s="8" t="s">
        <v>9</v>
      </c>
    </row>
    <row r="171" spans="2:22" x14ac:dyDescent="0.3">
      <c r="B171" s="1" t="s">
        <v>366</v>
      </c>
      <c r="C171" s="3" t="s">
        <v>366</v>
      </c>
      <c r="D171" s="1" t="s">
        <v>367</v>
      </c>
      <c r="E171" s="3" t="s">
        <v>711</v>
      </c>
      <c r="F171" s="2" t="s">
        <v>3</v>
      </c>
      <c r="G171" s="2" t="s">
        <v>3</v>
      </c>
      <c r="H171" s="3">
        <v>1983</v>
      </c>
      <c r="I171" s="3">
        <v>1983</v>
      </c>
      <c r="J171" s="3">
        <v>7966</v>
      </c>
      <c r="K171" s="3">
        <v>333.05</v>
      </c>
      <c r="L171" s="3">
        <v>-4.49</v>
      </c>
      <c r="M171" s="3">
        <v>4</v>
      </c>
      <c r="N171" s="3">
        <v>2</v>
      </c>
      <c r="O171" s="3">
        <v>7</v>
      </c>
      <c r="P171" s="3">
        <v>6</v>
      </c>
      <c r="Q171" s="2" t="s">
        <v>39</v>
      </c>
      <c r="R171" s="2" t="s">
        <v>77</v>
      </c>
      <c r="S171" s="2" t="s">
        <v>6</v>
      </c>
      <c r="T171" s="2" t="s">
        <v>78</v>
      </c>
      <c r="U171" s="2" t="s">
        <v>42</v>
      </c>
      <c r="V171" s="4" t="s">
        <v>36</v>
      </c>
    </row>
    <row r="172" spans="2:22" x14ac:dyDescent="0.3">
      <c r="B172" s="5" t="s">
        <v>368</v>
      </c>
      <c r="C172" s="7" t="s">
        <v>586</v>
      </c>
      <c r="D172" s="5" t="s">
        <v>369</v>
      </c>
      <c r="E172" s="7" t="s">
        <v>712</v>
      </c>
      <c r="F172" s="6" t="s">
        <v>12</v>
      </c>
      <c r="G172" s="6" t="s">
        <v>12</v>
      </c>
      <c r="H172" s="7">
        <v>1986</v>
      </c>
      <c r="I172" s="7">
        <v>1986</v>
      </c>
      <c r="J172" s="7">
        <v>8641</v>
      </c>
      <c r="K172" s="7">
        <v>82.96</v>
      </c>
      <c r="L172" s="7">
        <v>23.78</v>
      </c>
      <c r="M172" s="7">
        <v>5</v>
      </c>
      <c r="N172" s="7">
        <v>6</v>
      </c>
      <c r="O172" s="7">
        <v>7</v>
      </c>
      <c r="P172" s="7">
        <v>4</v>
      </c>
      <c r="Q172" s="6" t="s">
        <v>32</v>
      </c>
      <c r="R172" s="6" t="s">
        <v>14</v>
      </c>
      <c r="S172" s="6" t="s">
        <v>212</v>
      </c>
      <c r="T172" s="6" t="s">
        <v>35</v>
      </c>
      <c r="U172" s="6" t="s">
        <v>42</v>
      </c>
      <c r="V172" s="8" t="s">
        <v>36</v>
      </c>
    </row>
    <row r="173" spans="2:22" x14ac:dyDescent="0.3">
      <c r="B173" s="1" t="s">
        <v>370</v>
      </c>
      <c r="C173" s="3" t="s">
        <v>370</v>
      </c>
      <c r="D173" s="1" t="s">
        <v>23</v>
      </c>
      <c r="E173" s="3" t="s">
        <v>594</v>
      </c>
      <c r="F173" s="2" t="s">
        <v>24</v>
      </c>
      <c r="G173" s="2" t="s">
        <v>24</v>
      </c>
      <c r="H173" s="3">
        <v>1994</v>
      </c>
      <c r="I173" s="3">
        <v>1994</v>
      </c>
      <c r="J173" s="3">
        <v>4964</v>
      </c>
      <c r="K173" s="3">
        <v>345.18</v>
      </c>
      <c r="L173" s="3">
        <v>-3.32</v>
      </c>
      <c r="M173" s="3">
        <v>4</v>
      </c>
      <c r="N173" s="3">
        <v>7</v>
      </c>
      <c r="O173" s="3">
        <v>8</v>
      </c>
      <c r="P173" s="3">
        <v>2</v>
      </c>
      <c r="Q173" s="2" t="s">
        <v>60</v>
      </c>
      <c r="R173" s="2" t="s">
        <v>131</v>
      </c>
      <c r="S173" s="2" t="s">
        <v>27</v>
      </c>
      <c r="T173" s="2" t="s">
        <v>68</v>
      </c>
      <c r="U173" s="2" t="s">
        <v>17</v>
      </c>
      <c r="V173" s="4" t="s">
        <v>36</v>
      </c>
    </row>
    <row r="174" spans="2:22" x14ac:dyDescent="0.3">
      <c r="B174" s="5" t="s">
        <v>371</v>
      </c>
      <c r="C174" s="7" t="s">
        <v>371</v>
      </c>
      <c r="D174" s="5" t="s">
        <v>372</v>
      </c>
      <c r="E174" s="7" t="s">
        <v>713</v>
      </c>
      <c r="F174" s="6" t="s">
        <v>12</v>
      </c>
      <c r="G174" s="6" t="s">
        <v>12</v>
      </c>
      <c r="H174" s="7">
        <v>2011</v>
      </c>
      <c r="I174" s="7">
        <v>2011</v>
      </c>
      <c r="J174" s="7">
        <v>7159</v>
      </c>
      <c r="K174" s="7">
        <v>326</v>
      </c>
      <c r="L174" s="7">
        <v>-3.6</v>
      </c>
      <c r="M174" s="7">
        <v>6</v>
      </c>
      <c r="N174" s="7">
        <v>6</v>
      </c>
      <c r="O174" s="7">
        <v>3</v>
      </c>
      <c r="P174" s="7">
        <v>6</v>
      </c>
      <c r="Q174" s="6" t="s">
        <v>235</v>
      </c>
      <c r="R174" s="6" t="s">
        <v>33</v>
      </c>
      <c r="S174" s="6" t="s">
        <v>56</v>
      </c>
      <c r="T174" s="6" t="s">
        <v>74</v>
      </c>
      <c r="U174" s="6" t="s">
        <v>42</v>
      </c>
      <c r="V174" s="8" t="s">
        <v>96</v>
      </c>
    </row>
    <row r="175" spans="2:22" x14ac:dyDescent="0.3">
      <c r="B175" s="1" t="s">
        <v>373</v>
      </c>
      <c r="C175" s="3" t="s">
        <v>373</v>
      </c>
      <c r="D175" s="1" t="s">
        <v>256</v>
      </c>
      <c r="E175" s="3" t="s">
        <v>667</v>
      </c>
      <c r="F175" s="2" t="s">
        <v>48</v>
      </c>
      <c r="G175" s="2" t="s">
        <v>48</v>
      </c>
      <c r="H175" s="3">
        <v>2016</v>
      </c>
      <c r="I175" s="3">
        <v>2016</v>
      </c>
      <c r="J175" s="3">
        <v>589</v>
      </c>
      <c r="K175" s="3">
        <v>97.88</v>
      </c>
      <c r="L175" s="3">
        <v>11.92</v>
      </c>
      <c r="M175" s="3">
        <v>6</v>
      </c>
      <c r="N175" s="3">
        <v>2</v>
      </c>
      <c r="O175" s="3">
        <v>4</v>
      </c>
      <c r="P175" s="3">
        <v>6</v>
      </c>
      <c r="Q175" s="2" t="s">
        <v>60</v>
      </c>
      <c r="R175" s="2" t="s">
        <v>154</v>
      </c>
      <c r="S175" s="2" t="s">
        <v>61</v>
      </c>
      <c r="T175" s="2" t="s">
        <v>52</v>
      </c>
      <c r="U175" s="2" t="s">
        <v>29</v>
      </c>
      <c r="V175" s="4" t="s">
        <v>36</v>
      </c>
    </row>
    <row r="176" spans="2:22" x14ac:dyDescent="0.3">
      <c r="B176" s="5" t="s">
        <v>374</v>
      </c>
      <c r="C176" s="7" t="s">
        <v>374</v>
      </c>
      <c r="D176" s="5" t="s">
        <v>375</v>
      </c>
      <c r="E176" s="7" t="s">
        <v>714</v>
      </c>
      <c r="F176" s="6" t="s">
        <v>48</v>
      </c>
      <c r="G176" s="6" t="s">
        <v>48</v>
      </c>
      <c r="H176" s="7">
        <v>2001</v>
      </c>
      <c r="I176" s="7">
        <v>2001</v>
      </c>
      <c r="J176" s="7">
        <v>6338</v>
      </c>
      <c r="K176" s="7">
        <v>380.25</v>
      </c>
      <c r="L176" s="7">
        <v>1.96</v>
      </c>
      <c r="M176" s="7">
        <v>5</v>
      </c>
      <c r="N176" s="7">
        <v>7</v>
      </c>
      <c r="O176" s="7">
        <v>8</v>
      </c>
      <c r="P176" s="7">
        <v>2</v>
      </c>
      <c r="Q176" s="6" t="s">
        <v>51</v>
      </c>
      <c r="R176" s="6" t="s">
        <v>99</v>
      </c>
      <c r="S176" s="6" t="s">
        <v>61</v>
      </c>
      <c r="T176" s="6" t="s">
        <v>106</v>
      </c>
      <c r="U176" s="6" t="s">
        <v>17</v>
      </c>
      <c r="V176" s="8" t="s">
        <v>18</v>
      </c>
    </row>
    <row r="177" spans="2:22" x14ac:dyDescent="0.3">
      <c r="B177" s="1" t="s">
        <v>374</v>
      </c>
      <c r="C177" s="3" t="s">
        <v>374</v>
      </c>
      <c r="D177" s="1" t="s">
        <v>375</v>
      </c>
      <c r="E177" s="3" t="s">
        <v>714</v>
      </c>
      <c r="F177" s="2" t="s">
        <v>48</v>
      </c>
      <c r="G177" s="2" t="s">
        <v>48</v>
      </c>
      <c r="H177" s="3">
        <v>2001</v>
      </c>
      <c r="I177" s="3">
        <v>2001</v>
      </c>
      <c r="J177" s="3">
        <v>6338</v>
      </c>
      <c r="K177" s="3">
        <v>380.25</v>
      </c>
      <c r="L177" s="3">
        <v>1.96</v>
      </c>
      <c r="M177" s="3">
        <v>5</v>
      </c>
      <c r="N177" s="3">
        <v>7</v>
      </c>
      <c r="O177" s="3">
        <v>8</v>
      </c>
      <c r="P177" s="3">
        <v>2</v>
      </c>
      <c r="Q177" s="2" t="s">
        <v>51</v>
      </c>
      <c r="R177" s="2" t="s">
        <v>99</v>
      </c>
      <c r="S177" s="2" t="s">
        <v>61</v>
      </c>
      <c r="T177" s="2" t="s">
        <v>106</v>
      </c>
      <c r="U177" s="2" t="s">
        <v>17</v>
      </c>
      <c r="V177" s="4" t="s">
        <v>18</v>
      </c>
    </row>
    <row r="178" spans="2:22" x14ac:dyDescent="0.3">
      <c r="B178" s="5" t="s">
        <v>376</v>
      </c>
      <c r="C178" s="7" t="s">
        <v>376</v>
      </c>
      <c r="D178" s="5" t="s">
        <v>377</v>
      </c>
      <c r="E178" s="7" t="s">
        <v>715</v>
      </c>
      <c r="F178" s="6" t="s">
        <v>48</v>
      </c>
      <c r="G178" s="6" t="s">
        <v>48</v>
      </c>
      <c r="H178" s="7">
        <v>2019</v>
      </c>
      <c r="I178" s="7">
        <v>2019</v>
      </c>
      <c r="J178" s="7">
        <v>9808</v>
      </c>
      <c r="K178" s="7">
        <v>204.38</v>
      </c>
      <c r="L178" s="7">
        <v>7.96</v>
      </c>
      <c r="M178" s="7">
        <v>6</v>
      </c>
      <c r="N178" s="7">
        <v>2</v>
      </c>
      <c r="O178" s="7">
        <v>8</v>
      </c>
      <c r="P178" s="7">
        <v>4</v>
      </c>
      <c r="Q178" s="6" t="s">
        <v>121</v>
      </c>
      <c r="R178" s="6" t="s">
        <v>154</v>
      </c>
      <c r="S178" s="6" t="s">
        <v>218</v>
      </c>
      <c r="T178" s="6" t="s">
        <v>52</v>
      </c>
      <c r="U178" s="6" t="s">
        <v>17</v>
      </c>
      <c r="V178" s="8" t="s">
        <v>18</v>
      </c>
    </row>
    <row r="179" spans="2:22" x14ac:dyDescent="0.3">
      <c r="B179" s="1" t="s">
        <v>378</v>
      </c>
      <c r="C179" s="3" t="s">
        <v>378</v>
      </c>
      <c r="D179" s="1" t="s">
        <v>76</v>
      </c>
      <c r="E179" s="3" t="s">
        <v>604</v>
      </c>
      <c r="F179" s="2" t="s">
        <v>12</v>
      </c>
      <c r="G179" s="2" t="s">
        <v>12</v>
      </c>
      <c r="H179" s="3">
        <v>2019</v>
      </c>
      <c r="I179" s="3">
        <v>2019</v>
      </c>
      <c r="J179" s="3">
        <v>4889</v>
      </c>
      <c r="K179" s="3">
        <v>401.05</v>
      </c>
      <c r="L179" s="3">
        <v>5.82</v>
      </c>
      <c r="M179" s="3">
        <v>9</v>
      </c>
      <c r="N179" s="3">
        <v>2</v>
      </c>
      <c r="O179" s="3">
        <v>3</v>
      </c>
      <c r="P179" s="3">
        <v>4</v>
      </c>
      <c r="Q179" s="2" t="s">
        <v>95</v>
      </c>
      <c r="R179" s="2" t="s">
        <v>73</v>
      </c>
      <c r="S179" s="2" t="s">
        <v>56</v>
      </c>
      <c r="T179" s="2" t="s">
        <v>74</v>
      </c>
      <c r="U179" s="2" t="s">
        <v>42</v>
      </c>
      <c r="V179" s="4" t="s">
        <v>18</v>
      </c>
    </row>
    <row r="180" spans="2:22" x14ac:dyDescent="0.3">
      <c r="B180" s="5" t="s">
        <v>379</v>
      </c>
      <c r="C180" s="7" t="s">
        <v>379</v>
      </c>
      <c r="D180" s="5" t="s">
        <v>59</v>
      </c>
      <c r="E180" s="7" t="s">
        <v>600</v>
      </c>
      <c r="F180" s="6" t="s">
        <v>3</v>
      </c>
      <c r="G180" s="6" t="s">
        <v>3</v>
      </c>
      <c r="H180" s="7">
        <v>2008</v>
      </c>
      <c r="I180" s="7">
        <v>2008</v>
      </c>
      <c r="J180" s="7">
        <v>5946</v>
      </c>
      <c r="K180" s="7">
        <v>383.06</v>
      </c>
      <c r="L180" s="7">
        <v>-2.31</v>
      </c>
      <c r="M180" s="7">
        <v>4</v>
      </c>
      <c r="N180" s="7">
        <v>3</v>
      </c>
      <c r="O180" s="7">
        <v>3</v>
      </c>
      <c r="P180" s="7">
        <v>3</v>
      </c>
      <c r="Q180" s="6" t="s">
        <v>39</v>
      </c>
      <c r="R180" s="6" t="s">
        <v>5</v>
      </c>
      <c r="S180" s="6" t="s">
        <v>40</v>
      </c>
      <c r="T180" s="6" t="s">
        <v>7</v>
      </c>
      <c r="U180" s="6" t="s">
        <v>8</v>
      </c>
      <c r="V180" s="8" t="s">
        <v>36</v>
      </c>
    </row>
    <row r="181" spans="2:22" x14ac:dyDescent="0.3">
      <c r="B181" s="1" t="s">
        <v>380</v>
      </c>
      <c r="C181" s="3" t="s">
        <v>380</v>
      </c>
      <c r="D181" s="1" t="s">
        <v>381</v>
      </c>
      <c r="E181" s="3" t="s">
        <v>716</v>
      </c>
      <c r="F181" s="2" t="s">
        <v>48</v>
      </c>
      <c r="G181" s="2" t="s">
        <v>48</v>
      </c>
      <c r="H181" s="3">
        <v>2018</v>
      </c>
      <c r="I181" s="3">
        <v>2018</v>
      </c>
      <c r="J181" s="3">
        <v>5365</v>
      </c>
      <c r="K181" s="3">
        <v>433.22</v>
      </c>
      <c r="L181" s="3">
        <v>-0.83</v>
      </c>
      <c r="M181" s="3">
        <v>4</v>
      </c>
      <c r="N181" s="3">
        <v>4</v>
      </c>
      <c r="O181" s="3">
        <v>6</v>
      </c>
      <c r="P181" s="3">
        <v>5</v>
      </c>
      <c r="Q181" s="2" t="s">
        <v>49</v>
      </c>
      <c r="R181" s="2" t="s">
        <v>14</v>
      </c>
      <c r="S181" s="2" t="s">
        <v>218</v>
      </c>
      <c r="T181" s="2" t="s">
        <v>62</v>
      </c>
      <c r="U181" s="2" t="s">
        <v>29</v>
      </c>
      <c r="V181" s="4" t="s">
        <v>36</v>
      </c>
    </row>
    <row r="182" spans="2:22" x14ac:dyDescent="0.3">
      <c r="B182" s="5" t="s">
        <v>382</v>
      </c>
      <c r="C182" s="7" t="s">
        <v>382</v>
      </c>
      <c r="D182" s="5" t="s">
        <v>383</v>
      </c>
      <c r="E182" s="7" t="s">
        <v>717</v>
      </c>
      <c r="F182" s="6" t="s">
        <v>81</v>
      </c>
      <c r="G182" s="6" t="s">
        <v>81</v>
      </c>
      <c r="H182" s="7">
        <v>1989</v>
      </c>
      <c r="I182" s="7">
        <v>1989</v>
      </c>
      <c r="J182" s="7">
        <v>1086</v>
      </c>
      <c r="K182" s="7">
        <v>91.93</v>
      </c>
      <c r="L182" s="7">
        <v>12.81</v>
      </c>
      <c r="M182" s="7">
        <v>6</v>
      </c>
      <c r="N182" s="7">
        <v>5</v>
      </c>
      <c r="O182" s="7">
        <v>5</v>
      </c>
      <c r="P182" s="7">
        <v>5</v>
      </c>
      <c r="Q182" s="6" t="s">
        <v>87</v>
      </c>
      <c r="R182" s="6" t="s">
        <v>139</v>
      </c>
      <c r="S182" s="6" t="s">
        <v>89</v>
      </c>
      <c r="T182" s="6" t="s">
        <v>111</v>
      </c>
      <c r="U182" s="6" t="s">
        <v>17</v>
      </c>
      <c r="V182" s="8" t="s">
        <v>36</v>
      </c>
    </row>
    <row r="183" spans="2:22" x14ac:dyDescent="0.3">
      <c r="B183" s="1" t="s">
        <v>384</v>
      </c>
      <c r="C183" s="3" t="s">
        <v>384</v>
      </c>
      <c r="D183" s="1" t="s">
        <v>385</v>
      </c>
      <c r="E183" s="3" t="s">
        <v>718</v>
      </c>
      <c r="F183" s="2" t="s">
        <v>12</v>
      </c>
      <c r="G183" s="2" t="s">
        <v>12</v>
      </c>
      <c r="H183" s="3">
        <v>1988</v>
      </c>
      <c r="I183" s="3">
        <v>1988</v>
      </c>
      <c r="J183" s="3">
        <v>5041</v>
      </c>
      <c r="K183" s="3">
        <v>13.32</v>
      </c>
      <c r="L183" s="3">
        <v>4.01</v>
      </c>
      <c r="M183" s="3">
        <v>7</v>
      </c>
      <c r="N183" s="3">
        <v>4</v>
      </c>
      <c r="O183" s="3">
        <v>7</v>
      </c>
      <c r="P183" s="3">
        <v>5</v>
      </c>
      <c r="Q183" s="2" t="s">
        <v>32</v>
      </c>
      <c r="R183" s="2" t="s">
        <v>73</v>
      </c>
      <c r="S183" s="2" t="s">
        <v>34</v>
      </c>
      <c r="T183" s="2" t="s">
        <v>74</v>
      </c>
      <c r="U183" s="2" t="s">
        <v>29</v>
      </c>
      <c r="V183" s="4" t="s">
        <v>18</v>
      </c>
    </row>
    <row r="184" spans="2:22" x14ac:dyDescent="0.3">
      <c r="B184" s="5" t="s">
        <v>386</v>
      </c>
      <c r="C184" s="7" t="s">
        <v>386</v>
      </c>
      <c r="D184" s="5" t="s">
        <v>387</v>
      </c>
      <c r="E184" s="7" t="s">
        <v>719</v>
      </c>
      <c r="F184" s="6" t="s">
        <v>3</v>
      </c>
      <c r="G184" s="6" t="s">
        <v>3</v>
      </c>
      <c r="H184" s="7">
        <v>1991</v>
      </c>
      <c r="I184" s="7">
        <v>1991</v>
      </c>
      <c r="J184" s="7">
        <v>6574</v>
      </c>
      <c r="K184" s="7">
        <v>484.68</v>
      </c>
      <c r="L184" s="7">
        <v>19.489999999999998</v>
      </c>
      <c r="M184" s="7">
        <v>6</v>
      </c>
      <c r="N184" s="7">
        <v>7</v>
      </c>
      <c r="O184" s="7">
        <v>8</v>
      </c>
      <c r="P184" s="7">
        <v>7</v>
      </c>
      <c r="Q184" s="6" t="s">
        <v>39</v>
      </c>
      <c r="R184" s="6" t="s">
        <v>115</v>
      </c>
      <c r="S184" s="6" t="s">
        <v>173</v>
      </c>
      <c r="T184" s="6" t="s">
        <v>21</v>
      </c>
      <c r="U184" s="6" t="s">
        <v>42</v>
      </c>
      <c r="V184" s="8" t="s">
        <v>9</v>
      </c>
    </row>
    <row r="185" spans="2:22" x14ac:dyDescent="0.3">
      <c r="B185" s="1" t="s">
        <v>388</v>
      </c>
      <c r="C185" s="3" t="s">
        <v>388</v>
      </c>
      <c r="D185" s="1" t="s">
        <v>389</v>
      </c>
      <c r="E185" s="3" t="s">
        <v>720</v>
      </c>
      <c r="F185" s="2" t="s">
        <v>12</v>
      </c>
      <c r="G185" s="2" t="s">
        <v>12</v>
      </c>
      <c r="H185" s="3">
        <v>2016</v>
      </c>
      <c r="I185" s="3">
        <v>2016</v>
      </c>
      <c r="J185" s="3">
        <v>3323</v>
      </c>
      <c r="K185" s="3">
        <v>300.19</v>
      </c>
      <c r="L185" s="3">
        <v>19.940000000000001</v>
      </c>
      <c r="M185" s="3">
        <v>8</v>
      </c>
      <c r="N185" s="3">
        <v>3</v>
      </c>
      <c r="O185" s="3">
        <v>8</v>
      </c>
      <c r="P185" s="3">
        <v>6</v>
      </c>
      <c r="Q185" s="2" t="s">
        <v>235</v>
      </c>
      <c r="R185" s="2" t="s">
        <v>73</v>
      </c>
      <c r="S185" s="2" t="s">
        <v>56</v>
      </c>
      <c r="T185" s="2" t="s">
        <v>74</v>
      </c>
      <c r="U185" s="2" t="s">
        <v>42</v>
      </c>
      <c r="V185" s="4" t="s">
        <v>18</v>
      </c>
    </row>
    <row r="186" spans="2:22" x14ac:dyDescent="0.3">
      <c r="B186" s="5" t="s">
        <v>390</v>
      </c>
      <c r="C186" s="7" t="s">
        <v>390</v>
      </c>
      <c r="D186" s="5" t="s">
        <v>391</v>
      </c>
      <c r="E186" s="7" t="s">
        <v>721</v>
      </c>
      <c r="F186" s="6" t="s">
        <v>81</v>
      </c>
      <c r="G186" s="6" t="s">
        <v>81</v>
      </c>
      <c r="H186" s="7">
        <v>1988</v>
      </c>
      <c r="I186" s="7">
        <v>1988</v>
      </c>
      <c r="J186" s="7">
        <v>5011</v>
      </c>
      <c r="K186" s="7">
        <v>128.59</v>
      </c>
      <c r="L186" s="7">
        <v>11.03</v>
      </c>
      <c r="M186" s="7">
        <v>9</v>
      </c>
      <c r="N186" s="7">
        <v>3</v>
      </c>
      <c r="O186" s="7">
        <v>8</v>
      </c>
      <c r="P186" s="7">
        <v>5</v>
      </c>
      <c r="Q186" s="6" t="s">
        <v>190</v>
      </c>
      <c r="R186" s="6" t="s">
        <v>83</v>
      </c>
      <c r="S186" s="6" t="s">
        <v>145</v>
      </c>
      <c r="T186" s="6" t="s">
        <v>90</v>
      </c>
      <c r="U186" s="6" t="s">
        <v>17</v>
      </c>
      <c r="V186" s="8" t="s">
        <v>18</v>
      </c>
    </row>
    <row r="187" spans="2:22" x14ac:dyDescent="0.3">
      <c r="B187" s="1" t="s">
        <v>392</v>
      </c>
      <c r="C187" s="3" t="s">
        <v>392</v>
      </c>
      <c r="D187" s="1" t="s">
        <v>202</v>
      </c>
      <c r="E187" s="3" t="s">
        <v>644</v>
      </c>
      <c r="F187" s="2" t="s">
        <v>12</v>
      </c>
      <c r="G187" s="2" t="s">
        <v>12</v>
      </c>
      <c r="H187" s="3">
        <v>2003</v>
      </c>
      <c r="I187" s="3">
        <v>2003</v>
      </c>
      <c r="J187" s="3">
        <v>8846</v>
      </c>
      <c r="K187" s="3">
        <v>300.97000000000003</v>
      </c>
      <c r="L187" s="3">
        <v>23.97</v>
      </c>
      <c r="M187" s="3">
        <v>4</v>
      </c>
      <c r="N187" s="3">
        <v>2</v>
      </c>
      <c r="O187" s="3">
        <v>4</v>
      </c>
      <c r="P187" s="3">
        <v>7</v>
      </c>
      <c r="Q187" s="2" t="s">
        <v>32</v>
      </c>
      <c r="R187" s="2" t="s">
        <v>33</v>
      </c>
      <c r="S187" s="2" t="s">
        <v>15</v>
      </c>
      <c r="T187" s="2" t="s">
        <v>74</v>
      </c>
      <c r="U187" s="2" t="s">
        <v>42</v>
      </c>
      <c r="V187" s="4" t="s">
        <v>9</v>
      </c>
    </row>
    <row r="188" spans="2:22" x14ac:dyDescent="0.3">
      <c r="B188" s="5" t="s">
        <v>393</v>
      </c>
      <c r="C188" s="7" t="s">
        <v>393</v>
      </c>
      <c r="D188" s="5" t="s">
        <v>359</v>
      </c>
      <c r="E188" s="7" t="s">
        <v>708</v>
      </c>
      <c r="F188" s="6" t="s">
        <v>12</v>
      </c>
      <c r="G188" s="6" t="s">
        <v>12</v>
      </c>
      <c r="H188" s="7">
        <v>1986</v>
      </c>
      <c r="I188" s="7">
        <v>1986</v>
      </c>
      <c r="J188" s="7">
        <v>4289</v>
      </c>
      <c r="K188" s="7">
        <v>118.78</v>
      </c>
      <c r="L188" s="7">
        <v>8.89</v>
      </c>
      <c r="M188" s="7">
        <v>9</v>
      </c>
      <c r="N188" s="7">
        <v>6</v>
      </c>
      <c r="O188" s="7">
        <v>7</v>
      </c>
      <c r="P188" s="7">
        <v>6</v>
      </c>
      <c r="Q188" s="6" t="s">
        <v>55</v>
      </c>
      <c r="R188" s="6" t="s">
        <v>33</v>
      </c>
      <c r="S188" s="6" t="s">
        <v>212</v>
      </c>
      <c r="T188" s="6" t="s">
        <v>57</v>
      </c>
      <c r="U188" s="6" t="s">
        <v>17</v>
      </c>
      <c r="V188" s="8" t="s">
        <v>18</v>
      </c>
    </row>
    <row r="189" spans="2:22" x14ac:dyDescent="0.3">
      <c r="B189" s="1" t="s">
        <v>394</v>
      </c>
      <c r="C189" s="3" t="s">
        <v>394</v>
      </c>
      <c r="D189" s="1" t="s">
        <v>395</v>
      </c>
      <c r="E189" s="3" t="s">
        <v>722</v>
      </c>
      <c r="F189" s="2" t="s">
        <v>3</v>
      </c>
      <c r="G189" s="2" t="s">
        <v>3</v>
      </c>
      <c r="H189" s="3">
        <v>1981</v>
      </c>
      <c r="I189" s="3">
        <v>1981</v>
      </c>
      <c r="J189" s="3">
        <v>7959</v>
      </c>
      <c r="K189" s="3">
        <v>61.23</v>
      </c>
      <c r="L189" s="3">
        <v>18.53</v>
      </c>
      <c r="M189" s="3">
        <v>7</v>
      </c>
      <c r="N189" s="3">
        <v>2</v>
      </c>
      <c r="O189" s="3">
        <v>3</v>
      </c>
      <c r="P189" s="3">
        <v>7</v>
      </c>
      <c r="Q189" s="2" t="s">
        <v>103</v>
      </c>
      <c r="R189" s="2" t="s">
        <v>157</v>
      </c>
      <c r="S189" s="2" t="s">
        <v>173</v>
      </c>
      <c r="T189" s="2" t="s">
        <v>78</v>
      </c>
      <c r="U189" s="2" t="s">
        <v>17</v>
      </c>
      <c r="V189" s="4" t="s">
        <v>36</v>
      </c>
    </row>
    <row r="190" spans="2:22" x14ac:dyDescent="0.3">
      <c r="B190" s="5" t="s">
        <v>396</v>
      </c>
      <c r="C190" s="7" t="s">
        <v>396</v>
      </c>
      <c r="D190" s="5" t="s">
        <v>397</v>
      </c>
      <c r="E190" s="7" t="s">
        <v>723</v>
      </c>
      <c r="F190" s="6" t="s">
        <v>3</v>
      </c>
      <c r="G190" s="6" t="s">
        <v>3</v>
      </c>
      <c r="H190" s="7">
        <v>2010</v>
      </c>
      <c r="I190" s="7">
        <v>2010</v>
      </c>
      <c r="J190" s="7">
        <v>1649</v>
      </c>
      <c r="K190" s="7">
        <v>224.7</v>
      </c>
      <c r="L190" s="7">
        <v>14.44</v>
      </c>
      <c r="M190" s="7">
        <v>9</v>
      </c>
      <c r="N190" s="7">
        <v>5</v>
      </c>
      <c r="O190" s="7">
        <v>5</v>
      </c>
      <c r="P190" s="7">
        <v>2</v>
      </c>
      <c r="Q190" s="6" t="s">
        <v>161</v>
      </c>
      <c r="R190" s="6" t="s">
        <v>77</v>
      </c>
      <c r="S190" s="6" t="s">
        <v>6</v>
      </c>
      <c r="T190" s="6" t="s">
        <v>7</v>
      </c>
      <c r="U190" s="6" t="s">
        <v>42</v>
      </c>
      <c r="V190" s="8" t="s">
        <v>18</v>
      </c>
    </row>
    <row r="191" spans="2:22" x14ac:dyDescent="0.3">
      <c r="B191" s="1" t="s">
        <v>398</v>
      </c>
      <c r="C191" s="3" t="s">
        <v>398</v>
      </c>
      <c r="D191" s="1" t="s">
        <v>399</v>
      </c>
      <c r="E191" s="3" t="s">
        <v>724</v>
      </c>
      <c r="F191" s="2" t="s">
        <v>48</v>
      </c>
      <c r="G191" s="2" t="s">
        <v>48</v>
      </c>
      <c r="H191" s="3">
        <v>1991</v>
      </c>
      <c r="I191" s="3">
        <v>1991</v>
      </c>
      <c r="J191" s="3">
        <v>9092</v>
      </c>
      <c r="K191" s="3">
        <v>88.47</v>
      </c>
      <c r="L191" s="3">
        <v>-4.12</v>
      </c>
      <c r="M191" s="3">
        <v>8</v>
      </c>
      <c r="N191" s="3">
        <v>5</v>
      </c>
      <c r="O191" s="3">
        <v>6</v>
      </c>
      <c r="P191" s="3">
        <v>3</v>
      </c>
      <c r="Q191" s="2" t="s">
        <v>121</v>
      </c>
      <c r="R191" s="2" t="s">
        <v>14</v>
      </c>
      <c r="S191" s="2" t="s">
        <v>218</v>
      </c>
      <c r="T191" s="2" t="s">
        <v>62</v>
      </c>
      <c r="U191" s="2" t="s">
        <v>17</v>
      </c>
      <c r="V191" s="4" t="s">
        <v>18</v>
      </c>
    </row>
    <row r="192" spans="2:22" x14ac:dyDescent="0.3">
      <c r="B192" s="5" t="s">
        <v>400</v>
      </c>
      <c r="C192" s="7" t="s">
        <v>400</v>
      </c>
      <c r="D192" s="5" t="s">
        <v>401</v>
      </c>
      <c r="E192" s="7" t="s">
        <v>725</v>
      </c>
      <c r="F192" s="6" t="s">
        <v>48</v>
      </c>
      <c r="G192" s="6" t="s">
        <v>48</v>
      </c>
      <c r="H192" s="7">
        <v>2007</v>
      </c>
      <c r="I192" s="7">
        <v>2007</v>
      </c>
      <c r="J192" s="7">
        <v>6420</v>
      </c>
      <c r="K192" s="7">
        <v>12.18</v>
      </c>
      <c r="L192" s="7">
        <v>0.91</v>
      </c>
      <c r="M192" s="7">
        <v>5</v>
      </c>
      <c r="N192" s="7">
        <v>3</v>
      </c>
      <c r="O192" s="7">
        <v>5</v>
      </c>
      <c r="P192" s="7">
        <v>7</v>
      </c>
      <c r="Q192" s="6" t="s">
        <v>49</v>
      </c>
      <c r="R192" s="6" t="s">
        <v>50</v>
      </c>
      <c r="S192" s="6" t="s">
        <v>218</v>
      </c>
      <c r="T192" s="6" t="s">
        <v>52</v>
      </c>
      <c r="U192" s="6" t="s">
        <v>42</v>
      </c>
      <c r="V192" s="8" t="s">
        <v>9</v>
      </c>
    </row>
    <row r="193" spans="2:22" x14ac:dyDescent="0.3">
      <c r="B193" s="1" t="s">
        <v>402</v>
      </c>
      <c r="C193" s="3" t="s">
        <v>402</v>
      </c>
      <c r="D193" s="1" t="s">
        <v>403</v>
      </c>
      <c r="E193" s="3" t="s">
        <v>726</v>
      </c>
      <c r="F193" s="2" t="s">
        <v>81</v>
      </c>
      <c r="G193" s="2" t="s">
        <v>81</v>
      </c>
      <c r="H193" s="3">
        <v>2013</v>
      </c>
      <c r="I193" s="3">
        <v>2013</v>
      </c>
      <c r="J193" s="3">
        <v>5184</v>
      </c>
      <c r="K193" s="3">
        <v>302.52</v>
      </c>
      <c r="L193" s="3">
        <v>22.56</v>
      </c>
      <c r="M193" s="3">
        <v>8</v>
      </c>
      <c r="N193" s="3">
        <v>5</v>
      </c>
      <c r="O193" s="3">
        <v>7</v>
      </c>
      <c r="P193" s="3">
        <v>2</v>
      </c>
      <c r="Q193" s="2" t="s">
        <v>103</v>
      </c>
      <c r="R193" s="2" t="s">
        <v>139</v>
      </c>
      <c r="S193" s="2" t="s">
        <v>145</v>
      </c>
      <c r="T193" s="2" t="s">
        <v>111</v>
      </c>
      <c r="U193" s="2" t="s">
        <v>42</v>
      </c>
      <c r="V193" s="4" t="s">
        <v>18</v>
      </c>
    </row>
    <row r="194" spans="2:22" x14ac:dyDescent="0.3">
      <c r="B194" s="5" t="s">
        <v>404</v>
      </c>
      <c r="C194" s="7" t="s">
        <v>404</v>
      </c>
      <c r="D194" s="5" t="s">
        <v>405</v>
      </c>
      <c r="E194" s="7" t="s">
        <v>727</v>
      </c>
      <c r="F194" s="6" t="s">
        <v>3</v>
      </c>
      <c r="G194" s="6" t="s">
        <v>3</v>
      </c>
      <c r="H194" s="7">
        <v>1987</v>
      </c>
      <c r="I194" s="7">
        <v>1987</v>
      </c>
      <c r="J194" s="7">
        <v>3958</v>
      </c>
      <c r="K194" s="7">
        <v>159.63999999999999</v>
      </c>
      <c r="L194" s="7">
        <v>7.69</v>
      </c>
      <c r="M194" s="7">
        <v>5</v>
      </c>
      <c r="N194" s="7">
        <v>4</v>
      </c>
      <c r="O194" s="7">
        <v>8</v>
      </c>
      <c r="P194" s="7">
        <v>3</v>
      </c>
      <c r="Q194" s="6" t="s">
        <v>45</v>
      </c>
      <c r="R194" s="6" t="s">
        <v>5</v>
      </c>
      <c r="S194" s="6" t="s">
        <v>40</v>
      </c>
      <c r="T194" s="6" t="s">
        <v>41</v>
      </c>
      <c r="U194" s="6" t="s">
        <v>17</v>
      </c>
      <c r="V194" s="8" t="s">
        <v>18</v>
      </c>
    </row>
    <row r="195" spans="2:22" x14ac:dyDescent="0.3">
      <c r="B195" s="1" t="s">
        <v>406</v>
      </c>
      <c r="C195" s="3" t="s">
        <v>406</v>
      </c>
      <c r="D195" s="1" t="s">
        <v>407</v>
      </c>
      <c r="E195" s="3" t="s">
        <v>728</v>
      </c>
      <c r="F195" s="2" t="s">
        <v>24</v>
      </c>
      <c r="G195" s="2" t="s">
        <v>24</v>
      </c>
      <c r="H195" s="3">
        <v>2015</v>
      </c>
      <c r="I195" s="3">
        <v>2015</v>
      </c>
      <c r="J195" s="3">
        <v>2783</v>
      </c>
      <c r="K195" s="3">
        <v>249.92</v>
      </c>
      <c r="L195" s="3">
        <v>-0.9</v>
      </c>
      <c r="M195" s="3">
        <v>5</v>
      </c>
      <c r="N195" s="3">
        <v>3</v>
      </c>
      <c r="O195" s="3">
        <v>5</v>
      </c>
      <c r="P195" s="3">
        <v>5</v>
      </c>
      <c r="Q195" s="2" t="s">
        <v>65</v>
      </c>
      <c r="R195" s="2" t="s">
        <v>195</v>
      </c>
      <c r="S195" s="2" t="s">
        <v>67</v>
      </c>
      <c r="T195" s="2" t="s">
        <v>16</v>
      </c>
      <c r="U195" s="2" t="s">
        <v>17</v>
      </c>
      <c r="V195" s="4" t="s">
        <v>36</v>
      </c>
    </row>
    <row r="196" spans="2:22" x14ac:dyDescent="0.3">
      <c r="B196" s="5" t="s">
        <v>408</v>
      </c>
      <c r="C196" s="7" t="s">
        <v>408</v>
      </c>
      <c r="D196" s="5" t="s">
        <v>136</v>
      </c>
      <c r="E196" s="7" t="s">
        <v>620</v>
      </c>
      <c r="F196" s="6" t="s">
        <v>48</v>
      </c>
      <c r="G196" s="6" t="s">
        <v>48</v>
      </c>
      <c r="H196" s="7">
        <v>2011</v>
      </c>
      <c r="I196" s="7">
        <v>2011</v>
      </c>
      <c r="J196" s="7">
        <v>6753</v>
      </c>
      <c r="K196" s="7">
        <v>345.5</v>
      </c>
      <c r="L196" s="7">
        <v>-4.0199999999999996</v>
      </c>
      <c r="M196" s="7">
        <v>7</v>
      </c>
      <c r="N196" s="7">
        <v>7</v>
      </c>
      <c r="O196" s="7">
        <v>6</v>
      </c>
      <c r="P196" s="7">
        <v>5</v>
      </c>
      <c r="Q196" s="6" t="s">
        <v>60</v>
      </c>
      <c r="R196" s="6" t="s">
        <v>50</v>
      </c>
      <c r="S196" s="6" t="s">
        <v>61</v>
      </c>
      <c r="T196" s="6" t="s">
        <v>100</v>
      </c>
      <c r="U196" s="6" t="s">
        <v>42</v>
      </c>
      <c r="V196" s="8" t="s">
        <v>36</v>
      </c>
    </row>
    <row r="197" spans="2:22" x14ac:dyDescent="0.3">
      <c r="B197" s="1" t="s">
        <v>409</v>
      </c>
      <c r="C197" s="3" t="s">
        <v>409</v>
      </c>
      <c r="D197" s="1" t="s">
        <v>410</v>
      </c>
      <c r="E197" s="3" t="s">
        <v>729</v>
      </c>
      <c r="F197" s="2" t="s">
        <v>3</v>
      </c>
      <c r="G197" s="2" t="s">
        <v>3</v>
      </c>
      <c r="H197" s="3">
        <v>1990</v>
      </c>
      <c r="I197" s="3">
        <v>1990</v>
      </c>
      <c r="J197" s="3">
        <v>7542</v>
      </c>
      <c r="K197" s="3">
        <v>287.17</v>
      </c>
      <c r="L197" s="3">
        <v>17.8</v>
      </c>
      <c r="M197" s="3">
        <v>7</v>
      </c>
      <c r="N197" s="3">
        <v>6</v>
      </c>
      <c r="O197" s="3">
        <v>7</v>
      </c>
      <c r="P197" s="3">
        <v>2</v>
      </c>
      <c r="Q197" s="2" t="s">
        <v>45</v>
      </c>
      <c r="R197" s="2" t="s">
        <v>77</v>
      </c>
      <c r="S197" s="2" t="s">
        <v>173</v>
      </c>
      <c r="T197" s="2" t="s">
        <v>78</v>
      </c>
      <c r="U197" s="2" t="s">
        <v>8</v>
      </c>
      <c r="V197" s="4" t="s">
        <v>18</v>
      </c>
    </row>
    <row r="198" spans="2:22" x14ac:dyDescent="0.3">
      <c r="B198" s="5" t="s">
        <v>411</v>
      </c>
      <c r="C198" s="7" t="s">
        <v>411</v>
      </c>
      <c r="D198" s="5" t="s">
        <v>208</v>
      </c>
      <c r="E198" s="7" t="s">
        <v>647</v>
      </c>
      <c r="F198" s="6" t="s">
        <v>24</v>
      </c>
      <c r="G198" s="6" t="s">
        <v>24</v>
      </c>
      <c r="H198" s="7">
        <v>2007</v>
      </c>
      <c r="I198" s="7">
        <v>2007</v>
      </c>
      <c r="J198" s="7">
        <v>1727</v>
      </c>
      <c r="K198" s="7">
        <v>370.63</v>
      </c>
      <c r="L198" s="7">
        <v>20.96</v>
      </c>
      <c r="M198" s="7">
        <v>9</v>
      </c>
      <c r="N198" s="7">
        <v>3</v>
      </c>
      <c r="O198" s="7">
        <v>5</v>
      </c>
      <c r="P198" s="7">
        <v>2</v>
      </c>
      <c r="Q198" s="6" t="s">
        <v>25</v>
      </c>
      <c r="R198" s="6" t="s">
        <v>26</v>
      </c>
      <c r="S198" s="6" t="s">
        <v>67</v>
      </c>
      <c r="T198" s="6" t="s">
        <v>16</v>
      </c>
      <c r="U198" s="6" t="s">
        <v>17</v>
      </c>
      <c r="V198" s="8" t="s">
        <v>18</v>
      </c>
    </row>
    <row r="199" spans="2:22" x14ac:dyDescent="0.3">
      <c r="B199" s="1" t="s">
        <v>412</v>
      </c>
      <c r="C199" s="3" t="s">
        <v>412</v>
      </c>
      <c r="D199" s="1" t="s">
        <v>300</v>
      </c>
      <c r="E199" s="3" t="s">
        <v>685</v>
      </c>
      <c r="F199" s="2" t="s">
        <v>24</v>
      </c>
      <c r="G199" s="2" t="s">
        <v>24</v>
      </c>
      <c r="H199" s="3">
        <v>2017</v>
      </c>
      <c r="I199" s="3">
        <v>2017</v>
      </c>
      <c r="J199" s="3">
        <v>5794</v>
      </c>
      <c r="K199" s="3">
        <v>431.91</v>
      </c>
      <c r="L199" s="3">
        <v>12.1</v>
      </c>
      <c r="M199" s="3">
        <v>8</v>
      </c>
      <c r="N199" s="3">
        <v>7</v>
      </c>
      <c r="O199" s="3">
        <v>6</v>
      </c>
      <c r="P199" s="3">
        <v>3</v>
      </c>
      <c r="Q199" s="2" t="s">
        <v>65</v>
      </c>
      <c r="R199" s="2" t="s">
        <v>66</v>
      </c>
      <c r="S199" s="2" t="s">
        <v>132</v>
      </c>
      <c r="T199" s="2" t="s">
        <v>200</v>
      </c>
      <c r="U199" s="2" t="s">
        <v>8</v>
      </c>
      <c r="V199" s="4" t="s">
        <v>18</v>
      </c>
    </row>
    <row r="200" spans="2:22" x14ac:dyDescent="0.3">
      <c r="B200" s="5" t="s">
        <v>413</v>
      </c>
      <c r="C200" s="7" t="s">
        <v>413</v>
      </c>
      <c r="D200" s="5" t="s">
        <v>293</v>
      </c>
      <c r="E200" s="7" t="s">
        <v>682</v>
      </c>
      <c r="F200" s="6" t="s">
        <v>48</v>
      </c>
      <c r="G200" s="6" t="s">
        <v>48</v>
      </c>
      <c r="H200" s="7">
        <v>2014</v>
      </c>
      <c r="I200" s="7">
        <v>2014</v>
      </c>
      <c r="J200" s="7">
        <v>2808</v>
      </c>
      <c r="K200" s="7">
        <v>168.59</v>
      </c>
      <c r="L200" s="7">
        <v>24.77</v>
      </c>
      <c r="M200" s="7">
        <v>9</v>
      </c>
      <c r="N200" s="7">
        <v>4</v>
      </c>
      <c r="O200" s="7">
        <v>5</v>
      </c>
      <c r="P200" s="7">
        <v>6</v>
      </c>
      <c r="Q200" s="6" t="s">
        <v>124</v>
      </c>
      <c r="R200" s="6" t="s">
        <v>50</v>
      </c>
      <c r="S200" s="6" t="s">
        <v>218</v>
      </c>
      <c r="T200" s="6" t="s">
        <v>62</v>
      </c>
      <c r="U200" s="6" t="s">
        <v>8</v>
      </c>
      <c r="V200" s="8" t="s">
        <v>18</v>
      </c>
    </row>
    <row r="201" spans="2:22" x14ac:dyDescent="0.3">
      <c r="B201" s="1" t="s">
        <v>414</v>
      </c>
      <c r="C201" s="3" t="s">
        <v>414</v>
      </c>
      <c r="D201" s="1" t="s">
        <v>275</v>
      </c>
      <c r="E201" s="3" t="s">
        <v>675</v>
      </c>
      <c r="F201" s="2" t="s">
        <v>24</v>
      </c>
      <c r="G201" s="2" t="s">
        <v>24</v>
      </c>
      <c r="H201" s="3">
        <v>1989</v>
      </c>
      <c r="I201" s="3">
        <v>1989</v>
      </c>
      <c r="J201" s="3">
        <v>5327</v>
      </c>
      <c r="K201" s="3">
        <v>415.96</v>
      </c>
      <c r="L201" s="3">
        <v>-2.73</v>
      </c>
      <c r="M201" s="3">
        <v>9</v>
      </c>
      <c r="N201" s="3">
        <v>5</v>
      </c>
      <c r="O201" s="3">
        <v>6</v>
      </c>
      <c r="P201" s="3">
        <v>3</v>
      </c>
      <c r="Q201" s="2" t="s">
        <v>65</v>
      </c>
      <c r="R201" s="2" t="s">
        <v>26</v>
      </c>
      <c r="S201" s="2" t="s">
        <v>27</v>
      </c>
      <c r="T201" s="2" t="s">
        <v>68</v>
      </c>
      <c r="U201" s="2" t="s">
        <v>17</v>
      </c>
      <c r="V201" s="4" t="s">
        <v>18</v>
      </c>
    </row>
    <row r="202" spans="2:22" x14ac:dyDescent="0.3">
      <c r="B202" s="5" t="s">
        <v>415</v>
      </c>
      <c r="C202" s="7" t="s">
        <v>415</v>
      </c>
      <c r="D202" s="5" t="s">
        <v>416</v>
      </c>
      <c r="E202" s="7" t="s">
        <v>730</v>
      </c>
      <c r="F202" s="6" t="s">
        <v>48</v>
      </c>
      <c r="G202" s="6" t="s">
        <v>48</v>
      </c>
      <c r="H202" s="7">
        <v>1997</v>
      </c>
      <c r="I202" s="7">
        <v>1997</v>
      </c>
      <c r="J202" s="7">
        <v>6096</v>
      </c>
      <c r="K202" s="7">
        <v>232.8</v>
      </c>
      <c r="L202" s="7">
        <v>1.53</v>
      </c>
      <c r="M202" s="7">
        <v>7</v>
      </c>
      <c r="N202" s="7">
        <v>4</v>
      </c>
      <c r="O202" s="7">
        <v>7</v>
      </c>
      <c r="P202" s="7">
        <v>2</v>
      </c>
      <c r="Q202" s="6" t="s">
        <v>49</v>
      </c>
      <c r="R202" s="6" t="s">
        <v>154</v>
      </c>
      <c r="S202" s="6" t="s">
        <v>51</v>
      </c>
      <c r="T202" s="6" t="s">
        <v>106</v>
      </c>
      <c r="U202" s="6" t="s">
        <v>17</v>
      </c>
      <c r="V202" s="8" t="s">
        <v>18</v>
      </c>
    </row>
    <row r="203" spans="2:22" x14ac:dyDescent="0.3">
      <c r="B203" s="1" t="s">
        <v>417</v>
      </c>
      <c r="C203" s="3" t="s">
        <v>417</v>
      </c>
      <c r="D203" s="1" t="s">
        <v>418</v>
      </c>
      <c r="E203" s="3" t="s">
        <v>731</v>
      </c>
      <c r="F203" s="2" t="s">
        <v>81</v>
      </c>
      <c r="G203" s="2" t="s">
        <v>81</v>
      </c>
      <c r="H203" s="3">
        <v>1997</v>
      </c>
      <c r="I203" s="3">
        <v>1997</v>
      </c>
      <c r="J203" s="3">
        <v>5339</v>
      </c>
      <c r="K203" s="3">
        <v>415.89</v>
      </c>
      <c r="L203" s="3">
        <v>-2.0099999999999998</v>
      </c>
      <c r="M203" s="3">
        <v>6</v>
      </c>
      <c r="N203" s="3">
        <v>6</v>
      </c>
      <c r="O203" s="3">
        <v>7</v>
      </c>
      <c r="P203" s="3">
        <v>3</v>
      </c>
      <c r="Q203" s="2" t="s">
        <v>82</v>
      </c>
      <c r="R203" s="2" t="s">
        <v>88</v>
      </c>
      <c r="S203" s="2" t="s">
        <v>89</v>
      </c>
      <c r="T203" s="2" t="s">
        <v>84</v>
      </c>
      <c r="U203" s="2" t="s">
        <v>8</v>
      </c>
      <c r="V203" s="4" t="s">
        <v>18</v>
      </c>
    </row>
    <row r="204" spans="2:22" x14ac:dyDescent="0.3">
      <c r="B204" s="5" t="s">
        <v>419</v>
      </c>
      <c r="C204" s="7" t="s">
        <v>419</v>
      </c>
      <c r="D204" s="5" t="s">
        <v>151</v>
      </c>
      <c r="E204" s="7" t="s">
        <v>625</v>
      </c>
      <c r="F204" s="6" t="s">
        <v>12</v>
      </c>
      <c r="G204" s="6" t="s">
        <v>12</v>
      </c>
      <c r="H204" s="7">
        <v>1990</v>
      </c>
      <c r="I204" s="7">
        <v>1990</v>
      </c>
      <c r="J204" s="7">
        <v>7280</v>
      </c>
      <c r="K204" s="7">
        <v>233.69</v>
      </c>
      <c r="L204" s="7">
        <v>2.5099999999999998</v>
      </c>
      <c r="M204" s="7">
        <v>7</v>
      </c>
      <c r="N204" s="7">
        <v>3</v>
      </c>
      <c r="O204" s="7">
        <v>8</v>
      </c>
      <c r="P204" s="7">
        <v>3</v>
      </c>
      <c r="Q204" s="6" t="s">
        <v>32</v>
      </c>
      <c r="R204" s="6" t="s">
        <v>33</v>
      </c>
      <c r="S204" s="6" t="s">
        <v>34</v>
      </c>
      <c r="T204" s="6" t="s">
        <v>35</v>
      </c>
      <c r="U204" s="6" t="s">
        <v>42</v>
      </c>
      <c r="V204" s="8" t="s">
        <v>18</v>
      </c>
    </row>
    <row r="205" spans="2:22" x14ac:dyDescent="0.3">
      <c r="B205" s="1" t="s">
        <v>420</v>
      </c>
      <c r="C205" s="3" t="s">
        <v>587</v>
      </c>
      <c r="D205" s="1" t="s">
        <v>241</v>
      </c>
      <c r="E205" s="3" t="s">
        <v>660</v>
      </c>
      <c r="F205" s="2" t="s">
        <v>12</v>
      </c>
      <c r="G205" s="2" t="s">
        <v>12</v>
      </c>
      <c r="H205" s="3">
        <v>2005</v>
      </c>
      <c r="I205" s="3">
        <v>2005</v>
      </c>
      <c r="J205" s="3">
        <v>5055</v>
      </c>
      <c r="K205" s="3">
        <v>365.73</v>
      </c>
      <c r="L205" s="3">
        <v>-1.02</v>
      </c>
      <c r="M205" s="3">
        <v>5</v>
      </c>
      <c r="N205" s="3">
        <v>5</v>
      </c>
      <c r="O205" s="3">
        <v>8</v>
      </c>
      <c r="P205" s="3">
        <v>2</v>
      </c>
      <c r="Q205" s="2" t="s">
        <v>235</v>
      </c>
      <c r="R205" s="2" t="s">
        <v>152</v>
      </c>
      <c r="S205" s="2" t="s">
        <v>56</v>
      </c>
      <c r="T205" s="2" t="s">
        <v>74</v>
      </c>
      <c r="U205" s="2" t="s">
        <v>8</v>
      </c>
      <c r="V205" s="4" t="s">
        <v>18</v>
      </c>
    </row>
    <row r="206" spans="2:22" x14ac:dyDescent="0.3">
      <c r="B206" s="5" t="s">
        <v>421</v>
      </c>
      <c r="C206" s="7" t="s">
        <v>421</v>
      </c>
      <c r="D206" s="5" t="s">
        <v>410</v>
      </c>
      <c r="E206" s="7" t="s">
        <v>729</v>
      </c>
      <c r="F206" s="6" t="s">
        <v>81</v>
      </c>
      <c r="G206" s="6" t="s">
        <v>81</v>
      </c>
      <c r="H206" s="7">
        <v>1980</v>
      </c>
      <c r="I206" s="7">
        <v>1980</v>
      </c>
      <c r="J206" s="7">
        <v>182</v>
      </c>
      <c r="K206" s="7">
        <v>350.84</v>
      </c>
      <c r="L206" s="7">
        <v>16.920000000000002</v>
      </c>
      <c r="M206" s="7">
        <v>4</v>
      </c>
      <c r="N206" s="7">
        <v>5</v>
      </c>
      <c r="O206" s="7">
        <v>8</v>
      </c>
      <c r="P206" s="7">
        <v>3</v>
      </c>
      <c r="Q206" s="6" t="s">
        <v>190</v>
      </c>
      <c r="R206" s="6" t="s">
        <v>83</v>
      </c>
      <c r="S206" s="6" t="s">
        <v>209</v>
      </c>
      <c r="T206" s="6" t="s">
        <v>90</v>
      </c>
      <c r="U206" s="6" t="s">
        <v>8</v>
      </c>
      <c r="V206" s="8" t="s">
        <v>18</v>
      </c>
    </row>
    <row r="207" spans="2:22" x14ac:dyDescent="0.3">
      <c r="B207" s="1" t="s">
        <v>422</v>
      </c>
      <c r="C207" s="3" t="s">
        <v>422</v>
      </c>
      <c r="D207" s="1" t="s">
        <v>423</v>
      </c>
      <c r="E207" s="3" t="s">
        <v>732</v>
      </c>
      <c r="F207" s="2" t="s">
        <v>3</v>
      </c>
      <c r="G207" s="2" t="s">
        <v>3</v>
      </c>
      <c r="H207" s="3">
        <v>2003</v>
      </c>
      <c r="I207" s="3">
        <v>2003</v>
      </c>
      <c r="J207" s="3">
        <v>4952</v>
      </c>
      <c r="K207" s="3">
        <v>77.19</v>
      </c>
      <c r="L207" s="3">
        <v>16.670000000000002</v>
      </c>
      <c r="M207" s="3">
        <v>5</v>
      </c>
      <c r="N207" s="3">
        <v>7</v>
      </c>
      <c r="O207" s="3">
        <v>8</v>
      </c>
      <c r="P207" s="3">
        <v>3</v>
      </c>
      <c r="Q207" s="2" t="s">
        <v>4</v>
      </c>
      <c r="R207" s="2" t="s">
        <v>77</v>
      </c>
      <c r="S207" s="2" t="s">
        <v>116</v>
      </c>
      <c r="T207" s="2" t="s">
        <v>21</v>
      </c>
      <c r="U207" s="2" t="s">
        <v>42</v>
      </c>
      <c r="V207" s="4" t="s">
        <v>36</v>
      </c>
    </row>
    <row r="208" spans="2:22" x14ac:dyDescent="0.3">
      <c r="B208" s="5" t="s">
        <v>424</v>
      </c>
      <c r="C208" s="7" t="s">
        <v>424</v>
      </c>
      <c r="D208" s="5" t="s">
        <v>425</v>
      </c>
      <c r="E208" s="7" t="s">
        <v>733</v>
      </c>
      <c r="F208" s="6" t="s">
        <v>48</v>
      </c>
      <c r="G208" s="6" t="s">
        <v>48</v>
      </c>
      <c r="H208" s="7">
        <v>2008</v>
      </c>
      <c r="I208" s="7">
        <v>2008</v>
      </c>
      <c r="J208" s="7">
        <v>3609</v>
      </c>
      <c r="K208" s="7">
        <v>52.48</v>
      </c>
      <c r="L208" s="7">
        <v>2.4300000000000002</v>
      </c>
      <c r="M208" s="7">
        <v>4</v>
      </c>
      <c r="N208" s="7">
        <v>3</v>
      </c>
      <c r="O208" s="7">
        <v>3</v>
      </c>
      <c r="P208" s="7">
        <v>6</v>
      </c>
      <c r="Q208" s="6" t="s">
        <v>121</v>
      </c>
      <c r="R208" s="6" t="s">
        <v>99</v>
      </c>
      <c r="S208" s="6" t="s">
        <v>89</v>
      </c>
      <c r="T208" s="6" t="s">
        <v>52</v>
      </c>
      <c r="U208" s="6" t="s">
        <v>29</v>
      </c>
      <c r="V208" s="8" t="s">
        <v>9</v>
      </c>
    </row>
    <row r="209" spans="2:22" x14ac:dyDescent="0.3">
      <c r="B209" s="1" t="s">
        <v>426</v>
      </c>
      <c r="C209" s="3" t="s">
        <v>426</v>
      </c>
      <c r="D209" s="1" t="s">
        <v>427</v>
      </c>
      <c r="E209" s="3" t="s">
        <v>734</v>
      </c>
      <c r="F209" s="2" t="s">
        <v>48</v>
      </c>
      <c r="G209" s="2" t="s">
        <v>48</v>
      </c>
      <c r="H209" s="3">
        <v>2018</v>
      </c>
      <c r="I209" s="3">
        <v>2018</v>
      </c>
      <c r="J209" s="3">
        <v>9880</v>
      </c>
      <c r="K209" s="3">
        <v>363.38</v>
      </c>
      <c r="L209" s="3">
        <v>14.39</v>
      </c>
      <c r="M209" s="3">
        <v>6</v>
      </c>
      <c r="N209" s="3">
        <v>7</v>
      </c>
      <c r="O209" s="3">
        <v>3</v>
      </c>
      <c r="P209" s="3">
        <v>7</v>
      </c>
      <c r="Q209" s="2" t="s">
        <v>124</v>
      </c>
      <c r="R209" s="2" t="s">
        <v>14</v>
      </c>
      <c r="S209" s="2" t="s">
        <v>218</v>
      </c>
      <c r="T209" s="2" t="s">
        <v>62</v>
      </c>
      <c r="U209" s="2" t="s">
        <v>42</v>
      </c>
      <c r="V209" s="4" t="s">
        <v>96</v>
      </c>
    </row>
    <row r="210" spans="2:22" x14ac:dyDescent="0.3">
      <c r="B210" s="5" t="s">
        <v>428</v>
      </c>
      <c r="C210" s="7" t="s">
        <v>428</v>
      </c>
      <c r="D210" s="5" t="s">
        <v>194</v>
      </c>
      <c r="E210" s="7" t="s">
        <v>641</v>
      </c>
      <c r="F210" s="6" t="s">
        <v>81</v>
      </c>
      <c r="G210" s="6" t="s">
        <v>81</v>
      </c>
      <c r="H210" s="7">
        <v>1987</v>
      </c>
      <c r="I210" s="7">
        <v>1987</v>
      </c>
      <c r="J210" s="7">
        <v>3999</v>
      </c>
      <c r="K210" s="7">
        <v>254.8</v>
      </c>
      <c r="L210" s="7">
        <v>5.96</v>
      </c>
      <c r="M210" s="7">
        <v>8</v>
      </c>
      <c r="N210" s="7">
        <v>2</v>
      </c>
      <c r="O210" s="7">
        <v>7</v>
      </c>
      <c r="P210" s="7">
        <v>2</v>
      </c>
      <c r="Q210" s="6" t="s">
        <v>103</v>
      </c>
      <c r="R210" s="6" t="s">
        <v>139</v>
      </c>
      <c r="S210" s="6" t="s">
        <v>209</v>
      </c>
      <c r="T210" s="6" t="s">
        <v>90</v>
      </c>
      <c r="U210" s="6" t="s">
        <v>17</v>
      </c>
      <c r="V210" s="8" t="s">
        <v>18</v>
      </c>
    </row>
    <row r="211" spans="2:22" x14ac:dyDescent="0.3">
      <c r="B211" s="1" t="s">
        <v>429</v>
      </c>
      <c r="C211" s="3" t="s">
        <v>429</v>
      </c>
      <c r="D211" s="1" t="s">
        <v>222</v>
      </c>
      <c r="E211" s="3" t="s">
        <v>652</v>
      </c>
      <c r="F211" s="2" t="s">
        <v>12</v>
      </c>
      <c r="G211" s="2" t="s">
        <v>12</v>
      </c>
      <c r="H211" s="3">
        <v>1981</v>
      </c>
      <c r="I211" s="3">
        <v>1981</v>
      </c>
      <c r="J211" s="3">
        <v>9673</v>
      </c>
      <c r="K211" s="3">
        <v>43.09</v>
      </c>
      <c r="L211" s="3">
        <v>-2.5299999999999998</v>
      </c>
      <c r="M211" s="3">
        <v>6</v>
      </c>
      <c r="N211" s="3">
        <v>3</v>
      </c>
      <c r="O211" s="3">
        <v>3</v>
      </c>
      <c r="P211" s="3">
        <v>2</v>
      </c>
      <c r="Q211" s="2" t="s">
        <v>13</v>
      </c>
      <c r="R211" s="2" t="s">
        <v>14</v>
      </c>
      <c r="S211" s="2" t="s">
        <v>212</v>
      </c>
      <c r="T211" s="2" t="s">
        <v>74</v>
      </c>
      <c r="U211" s="2" t="s">
        <v>17</v>
      </c>
      <c r="V211" s="4" t="s">
        <v>18</v>
      </c>
    </row>
    <row r="212" spans="2:22" x14ac:dyDescent="0.3">
      <c r="B212" s="5" t="s">
        <v>430</v>
      </c>
      <c r="C212" s="7" t="s">
        <v>430</v>
      </c>
      <c r="D212" s="5" t="s">
        <v>407</v>
      </c>
      <c r="E212" s="7" t="s">
        <v>728</v>
      </c>
      <c r="F212" s="6" t="s">
        <v>48</v>
      </c>
      <c r="G212" s="6" t="s">
        <v>48</v>
      </c>
      <c r="H212" s="7">
        <v>1989</v>
      </c>
      <c r="I212" s="7">
        <v>1989</v>
      </c>
      <c r="J212" s="7">
        <v>4596</v>
      </c>
      <c r="K212" s="7">
        <v>50.96</v>
      </c>
      <c r="L212" s="7">
        <v>15.96</v>
      </c>
      <c r="M212" s="7">
        <v>4</v>
      </c>
      <c r="N212" s="7">
        <v>6</v>
      </c>
      <c r="O212" s="7">
        <v>4</v>
      </c>
      <c r="P212" s="7">
        <v>3</v>
      </c>
      <c r="Q212" s="6" t="s">
        <v>51</v>
      </c>
      <c r="R212" s="6" t="s">
        <v>99</v>
      </c>
      <c r="S212" s="6" t="s">
        <v>89</v>
      </c>
      <c r="T212" s="6" t="s">
        <v>106</v>
      </c>
      <c r="U212" s="6" t="s">
        <v>42</v>
      </c>
      <c r="V212" s="8" t="s">
        <v>9</v>
      </c>
    </row>
    <row r="213" spans="2:22" x14ac:dyDescent="0.3">
      <c r="B213" s="1" t="s">
        <v>431</v>
      </c>
      <c r="C213" s="3" t="s">
        <v>431</v>
      </c>
      <c r="D213" s="1" t="s">
        <v>432</v>
      </c>
      <c r="E213" s="3" t="s">
        <v>735</v>
      </c>
      <c r="F213" s="2" t="s">
        <v>24</v>
      </c>
      <c r="G213" s="2" t="s">
        <v>24</v>
      </c>
      <c r="H213" s="3">
        <v>1985</v>
      </c>
      <c r="I213" s="3">
        <v>1985</v>
      </c>
      <c r="J213" s="3">
        <v>7168</v>
      </c>
      <c r="K213" s="3">
        <v>66.83</v>
      </c>
      <c r="L213" s="3">
        <v>-0.09</v>
      </c>
      <c r="M213" s="3">
        <v>8</v>
      </c>
      <c r="N213" s="3">
        <v>6</v>
      </c>
      <c r="O213" s="3">
        <v>3</v>
      </c>
      <c r="P213" s="3">
        <v>4</v>
      </c>
      <c r="Q213" s="2" t="s">
        <v>141</v>
      </c>
      <c r="R213" s="2" t="s">
        <v>195</v>
      </c>
      <c r="S213" s="2" t="s">
        <v>93</v>
      </c>
      <c r="T213" s="2" t="s">
        <v>200</v>
      </c>
      <c r="U213" s="2" t="s">
        <v>8</v>
      </c>
      <c r="V213" s="4" t="s">
        <v>36</v>
      </c>
    </row>
    <row r="214" spans="2:22" x14ac:dyDescent="0.3">
      <c r="B214" s="5" t="s">
        <v>433</v>
      </c>
      <c r="C214" s="7" t="s">
        <v>433</v>
      </c>
      <c r="D214" s="5" t="s">
        <v>172</v>
      </c>
      <c r="E214" s="7" t="s">
        <v>632</v>
      </c>
      <c r="F214" s="6" t="s">
        <v>48</v>
      </c>
      <c r="G214" s="6" t="s">
        <v>48</v>
      </c>
      <c r="H214" s="7">
        <v>1996</v>
      </c>
      <c r="I214" s="7">
        <v>1996</v>
      </c>
      <c r="J214" s="7">
        <v>2785</v>
      </c>
      <c r="K214" s="7">
        <v>192.22</v>
      </c>
      <c r="L214" s="7">
        <v>2.89</v>
      </c>
      <c r="M214" s="7">
        <v>9</v>
      </c>
      <c r="N214" s="7">
        <v>4</v>
      </c>
      <c r="O214" s="7">
        <v>8</v>
      </c>
      <c r="P214" s="7">
        <v>2</v>
      </c>
      <c r="Q214" s="6" t="s">
        <v>49</v>
      </c>
      <c r="R214" s="6" t="s">
        <v>99</v>
      </c>
      <c r="S214" s="6" t="s">
        <v>89</v>
      </c>
      <c r="T214" s="6" t="s">
        <v>52</v>
      </c>
      <c r="U214" s="6" t="s">
        <v>8</v>
      </c>
      <c r="V214" s="8" t="s">
        <v>18</v>
      </c>
    </row>
    <row r="215" spans="2:22" x14ac:dyDescent="0.3">
      <c r="B215" s="1" t="s">
        <v>434</v>
      </c>
      <c r="C215" s="3" t="s">
        <v>434</v>
      </c>
      <c r="D215" s="1" t="s">
        <v>359</v>
      </c>
      <c r="E215" s="3" t="s">
        <v>708</v>
      </c>
      <c r="F215" s="2" t="s">
        <v>81</v>
      </c>
      <c r="G215" s="2" t="s">
        <v>81</v>
      </c>
      <c r="H215" s="3">
        <v>2009</v>
      </c>
      <c r="I215" s="3">
        <v>2009</v>
      </c>
      <c r="J215" s="3">
        <v>8418</v>
      </c>
      <c r="K215" s="3">
        <v>186.46</v>
      </c>
      <c r="L215" s="3">
        <v>17.22</v>
      </c>
      <c r="M215" s="3">
        <v>7</v>
      </c>
      <c r="N215" s="3">
        <v>6</v>
      </c>
      <c r="O215" s="3">
        <v>4</v>
      </c>
      <c r="P215" s="3">
        <v>4</v>
      </c>
      <c r="Q215" s="2" t="s">
        <v>144</v>
      </c>
      <c r="R215" s="2" t="s">
        <v>139</v>
      </c>
      <c r="S215" s="2" t="s">
        <v>82</v>
      </c>
      <c r="T215" s="2" t="s">
        <v>84</v>
      </c>
      <c r="U215" s="2" t="s">
        <v>29</v>
      </c>
      <c r="V215" s="4" t="s">
        <v>36</v>
      </c>
    </row>
    <row r="216" spans="2:22" x14ac:dyDescent="0.3">
      <c r="B216" s="5" t="s">
        <v>435</v>
      </c>
      <c r="C216" s="7" t="s">
        <v>435</v>
      </c>
      <c r="D216" s="5" t="s">
        <v>436</v>
      </c>
      <c r="E216" s="7" t="s">
        <v>736</v>
      </c>
      <c r="F216" s="6" t="s">
        <v>12</v>
      </c>
      <c r="G216" s="6" t="s">
        <v>12</v>
      </c>
      <c r="H216" s="7">
        <v>1995</v>
      </c>
      <c r="I216" s="7">
        <v>1995</v>
      </c>
      <c r="J216" s="7">
        <v>803</v>
      </c>
      <c r="K216" s="7">
        <v>241.16</v>
      </c>
      <c r="L216" s="7">
        <v>7.49</v>
      </c>
      <c r="M216" s="7">
        <v>7</v>
      </c>
      <c r="N216" s="7">
        <v>3</v>
      </c>
      <c r="O216" s="7">
        <v>4</v>
      </c>
      <c r="P216" s="7">
        <v>2</v>
      </c>
      <c r="Q216" s="6" t="s">
        <v>55</v>
      </c>
      <c r="R216" s="6" t="s">
        <v>73</v>
      </c>
      <c r="S216" s="6" t="s">
        <v>56</v>
      </c>
      <c r="T216" s="6" t="s">
        <v>57</v>
      </c>
      <c r="U216" s="6" t="s">
        <v>29</v>
      </c>
      <c r="V216" s="8" t="s">
        <v>18</v>
      </c>
    </row>
    <row r="217" spans="2:22" x14ac:dyDescent="0.3">
      <c r="B217" s="1" t="s">
        <v>437</v>
      </c>
      <c r="C217" s="3" t="s">
        <v>437</v>
      </c>
      <c r="D217" s="1" t="s">
        <v>256</v>
      </c>
      <c r="E217" s="3" t="s">
        <v>667</v>
      </c>
      <c r="F217" s="2" t="s">
        <v>12</v>
      </c>
      <c r="G217" s="2" t="s">
        <v>12</v>
      </c>
      <c r="H217" s="3">
        <v>2016</v>
      </c>
      <c r="I217" s="3">
        <v>2016</v>
      </c>
      <c r="J217" s="3">
        <v>6158</v>
      </c>
      <c r="K217" s="3">
        <v>68.510000000000005</v>
      </c>
      <c r="L217" s="3">
        <v>20.98</v>
      </c>
      <c r="M217" s="3">
        <v>9</v>
      </c>
      <c r="N217" s="3">
        <v>2</v>
      </c>
      <c r="O217" s="3">
        <v>4</v>
      </c>
      <c r="P217" s="3">
        <v>3</v>
      </c>
      <c r="Q217" s="2" t="s">
        <v>55</v>
      </c>
      <c r="R217" s="2" t="s">
        <v>152</v>
      </c>
      <c r="S217" s="2" t="s">
        <v>212</v>
      </c>
      <c r="T217" s="2" t="s">
        <v>35</v>
      </c>
      <c r="U217" s="2" t="s">
        <v>17</v>
      </c>
      <c r="V217" s="4" t="s">
        <v>18</v>
      </c>
    </row>
    <row r="218" spans="2:22" x14ac:dyDescent="0.3">
      <c r="B218" s="5" t="s">
        <v>438</v>
      </c>
      <c r="C218" s="7" t="s">
        <v>438</v>
      </c>
      <c r="D218" s="5" t="s">
        <v>249</v>
      </c>
      <c r="E218" s="7" t="s">
        <v>664</v>
      </c>
      <c r="F218" s="6" t="s">
        <v>12</v>
      </c>
      <c r="G218" s="6" t="s">
        <v>12</v>
      </c>
      <c r="H218" s="7">
        <v>2015</v>
      </c>
      <c r="I218" s="7">
        <v>2015</v>
      </c>
      <c r="J218" s="7">
        <v>7533</v>
      </c>
      <c r="K218" s="7">
        <v>13.9</v>
      </c>
      <c r="L218" s="7">
        <v>24.93</v>
      </c>
      <c r="M218" s="7">
        <v>5</v>
      </c>
      <c r="N218" s="7">
        <v>4</v>
      </c>
      <c r="O218" s="7">
        <v>7</v>
      </c>
      <c r="P218" s="7">
        <v>4</v>
      </c>
      <c r="Q218" s="6" t="s">
        <v>55</v>
      </c>
      <c r="R218" s="6" t="s">
        <v>33</v>
      </c>
      <c r="S218" s="6" t="s">
        <v>212</v>
      </c>
      <c r="T218" s="6" t="s">
        <v>57</v>
      </c>
      <c r="U218" s="6" t="s">
        <v>17</v>
      </c>
      <c r="V218" s="8" t="s">
        <v>18</v>
      </c>
    </row>
    <row r="219" spans="2:22" x14ac:dyDescent="0.3">
      <c r="B219" s="1" t="s">
        <v>439</v>
      </c>
      <c r="C219" s="3" t="s">
        <v>439</v>
      </c>
      <c r="D219" s="1" t="s">
        <v>208</v>
      </c>
      <c r="E219" s="3" t="s">
        <v>647</v>
      </c>
      <c r="F219" s="2" t="s">
        <v>24</v>
      </c>
      <c r="G219" s="2" t="s">
        <v>24</v>
      </c>
      <c r="H219" s="3">
        <v>1989</v>
      </c>
      <c r="I219" s="3">
        <v>1989</v>
      </c>
      <c r="J219" s="3">
        <v>154</v>
      </c>
      <c r="K219" s="3">
        <v>466.87</v>
      </c>
      <c r="L219" s="3">
        <v>-1.88</v>
      </c>
      <c r="M219" s="3">
        <v>4</v>
      </c>
      <c r="N219" s="3">
        <v>3</v>
      </c>
      <c r="O219" s="3">
        <v>7</v>
      </c>
      <c r="P219" s="3">
        <v>4</v>
      </c>
      <c r="Q219" s="2" t="s">
        <v>60</v>
      </c>
      <c r="R219" s="2" t="s">
        <v>26</v>
      </c>
      <c r="S219" s="2" t="s">
        <v>93</v>
      </c>
      <c r="T219" s="2" t="s">
        <v>68</v>
      </c>
      <c r="U219" s="2" t="s">
        <v>42</v>
      </c>
      <c r="V219" s="4" t="s">
        <v>18</v>
      </c>
    </row>
    <row r="220" spans="2:22" x14ac:dyDescent="0.3">
      <c r="B220" s="5" t="s">
        <v>440</v>
      </c>
      <c r="C220" s="7" t="s">
        <v>440</v>
      </c>
      <c r="D220" s="5" t="s">
        <v>441</v>
      </c>
      <c r="E220" s="7" t="s">
        <v>737</v>
      </c>
      <c r="F220" s="6" t="s">
        <v>81</v>
      </c>
      <c r="G220" s="6" t="s">
        <v>81</v>
      </c>
      <c r="H220" s="7">
        <v>2011</v>
      </c>
      <c r="I220" s="7">
        <v>2011</v>
      </c>
      <c r="J220" s="7">
        <v>1031</v>
      </c>
      <c r="K220" s="7">
        <v>486.55</v>
      </c>
      <c r="L220" s="7">
        <v>24.24</v>
      </c>
      <c r="M220" s="7">
        <v>5</v>
      </c>
      <c r="N220" s="7">
        <v>7</v>
      </c>
      <c r="O220" s="7">
        <v>5</v>
      </c>
      <c r="P220" s="7">
        <v>2</v>
      </c>
      <c r="Q220" s="6" t="s">
        <v>87</v>
      </c>
      <c r="R220" s="6" t="s">
        <v>104</v>
      </c>
      <c r="S220" s="6" t="s">
        <v>145</v>
      </c>
      <c r="T220" s="6" t="s">
        <v>166</v>
      </c>
      <c r="U220" s="6" t="s">
        <v>17</v>
      </c>
      <c r="V220" s="8" t="s">
        <v>36</v>
      </c>
    </row>
    <row r="221" spans="2:22" x14ac:dyDescent="0.3">
      <c r="B221" s="1" t="s">
        <v>442</v>
      </c>
      <c r="C221" s="3" t="s">
        <v>442</v>
      </c>
      <c r="D221" s="1" t="s">
        <v>443</v>
      </c>
      <c r="E221" s="3" t="s">
        <v>738</v>
      </c>
      <c r="F221" s="2" t="s">
        <v>12</v>
      </c>
      <c r="G221" s="2" t="s">
        <v>12</v>
      </c>
      <c r="H221" s="3">
        <v>2012</v>
      </c>
      <c r="I221" s="3">
        <v>2012</v>
      </c>
      <c r="J221" s="3">
        <v>2237</v>
      </c>
      <c r="K221" s="3">
        <v>322.24</v>
      </c>
      <c r="L221" s="3">
        <v>2.83</v>
      </c>
      <c r="M221" s="3">
        <v>7</v>
      </c>
      <c r="N221" s="3">
        <v>2</v>
      </c>
      <c r="O221" s="3">
        <v>7</v>
      </c>
      <c r="P221" s="3">
        <v>6</v>
      </c>
      <c r="Q221" s="2" t="s">
        <v>235</v>
      </c>
      <c r="R221" s="2" t="s">
        <v>73</v>
      </c>
      <c r="S221" s="2" t="s">
        <v>56</v>
      </c>
      <c r="T221" s="2" t="s">
        <v>16</v>
      </c>
      <c r="U221" s="2" t="s">
        <v>42</v>
      </c>
      <c r="V221" s="4" t="s">
        <v>18</v>
      </c>
    </row>
    <row r="222" spans="2:22" x14ac:dyDescent="0.3">
      <c r="B222" s="5" t="s">
        <v>444</v>
      </c>
      <c r="C222" s="7" t="s">
        <v>444</v>
      </c>
      <c r="D222" s="5" t="s">
        <v>38</v>
      </c>
      <c r="E222" s="7" t="s">
        <v>596</v>
      </c>
      <c r="F222" s="6" t="s">
        <v>3</v>
      </c>
      <c r="G222" s="6" t="s">
        <v>3</v>
      </c>
      <c r="H222" s="7">
        <v>2000</v>
      </c>
      <c r="I222" s="7">
        <v>2000</v>
      </c>
      <c r="J222" s="7">
        <v>7467</v>
      </c>
      <c r="K222" s="7">
        <v>143.26</v>
      </c>
      <c r="L222" s="7">
        <v>8.98</v>
      </c>
      <c r="M222" s="7">
        <v>4</v>
      </c>
      <c r="N222" s="7">
        <v>3</v>
      </c>
      <c r="O222" s="7">
        <v>4</v>
      </c>
      <c r="P222" s="7">
        <v>6</v>
      </c>
      <c r="Q222" s="6" t="s">
        <v>4</v>
      </c>
      <c r="R222" s="6" t="s">
        <v>115</v>
      </c>
      <c r="S222" s="6" t="s">
        <v>6</v>
      </c>
      <c r="T222" s="6" t="s">
        <v>41</v>
      </c>
      <c r="U222" s="6" t="s">
        <v>17</v>
      </c>
      <c r="V222" s="8" t="s">
        <v>9</v>
      </c>
    </row>
    <row r="223" spans="2:22" x14ac:dyDescent="0.3">
      <c r="B223" s="1" t="s">
        <v>445</v>
      </c>
      <c r="C223" s="3" t="s">
        <v>445</v>
      </c>
      <c r="D223" s="1" t="s">
        <v>381</v>
      </c>
      <c r="E223" s="3" t="s">
        <v>716</v>
      </c>
      <c r="F223" s="2" t="s">
        <v>48</v>
      </c>
      <c r="G223" s="2" t="s">
        <v>48</v>
      </c>
      <c r="H223" s="3">
        <v>2002</v>
      </c>
      <c r="I223" s="3">
        <v>2002</v>
      </c>
      <c r="J223" s="3">
        <v>3451</v>
      </c>
      <c r="K223" s="3">
        <v>231.44</v>
      </c>
      <c r="L223" s="3">
        <v>-0.55000000000000004</v>
      </c>
      <c r="M223" s="3">
        <v>7</v>
      </c>
      <c r="N223" s="3">
        <v>4</v>
      </c>
      <c r="O223" s="3">
        <v>3</v>
      </c>
      <c r="P223" s="3">
        <v>2</v>
      </c>
      <c r="Q223" s="2" t="s">
        <v>60</v>
      </c>
      <c r="R223" s="2" t="s">
        <v>99</v>
      </c>
      <c r="S223" s="2" t="s">
        <v>61</v>
      </c>
      <c r="T223" s="2" t="s">
        <v>100</v>
      </c>
      <c r="U223" s="2" t="s">
        <v>42</v>
      </c>
      <c r="V223" s="4" t="s">
        <v>18</v>
      </c>
    </row>
    <row r="224" spans="2:22" x14ac:dyDescent="0.3">
      <c r="B224" s="5" t="s">
        <v>446</v>
      </c>
      <c r="C224" s="7" t="s">
        <v>446</v>
      </c>
      <c r="D224" s="5" t="s">
        <v>447</v>
      </c>
      <c r="E224" s="7" t="s">
        <v>739</v>
      </c>
      <c r="F224" s="6" t="s">
        <v>81</v>
      </c>
      <c r="G224" s="6" t="s">
        <v>81</v>
      </c>
      <c r="H224" s="7">
        <v>2012</v>
      </c>
      <c r="I224" s="7">
        <v>2012</v>
      </c>
      <c r="J224" s="7">
        <v>852</v>
      </c>
      <c r="K224" s="7">
        <v>341.82</v>
      </c>
      <c r="L224" s="7">
        <v>19.12</v>
      </c>
      <c r="M224" s="7">
        <v>6</v>
      </c>
      <c r="N224" s="7">
        <v>3</v>
      </c>
      <c r="O224" s="7">
        <v>3</v>
      </c>
      <c r="P224" s="7">
        <v>5</v>
      </c>
      <c r="Q224" s="6" t="s">
        <v>190</v>
      </c>
      <c r="R224" s="6" t="s">
        <v>104</v>
      </c>
      <c r="S224" s="6" t="s">
        <v>82</v>
      </c>
      <c r="T224" s="6" t="s">
        <v>90</v>
      </c>
      <c r="U224" s="6" t="s">
        <v>8</v>
      </c>
      <c r="V224" s="8" t="s">
        <v>36</v>
      </c>
    </row>
    <row r="225" spans="2:22" x14ac:dyDescent="0.3">
      <c r="B225" s="1" t="s">
        <v>448</v>
      </c>
      <c r="C225" s="3" t="s">
        <v>448</v>
      </c>
      <c r="D225" s="1" t="s">
        <v>345</v>
      </c>
      <c r="E225" s="3" t="s">
        <v>702</v>
      </c>
      <c r="F225" s="2" t="s">
        <v>12</v>
      </c>
      <c r="G225" s="2" t="s">
        <v>12</v>
      </c>
      <c r="H225" s="3">
        <v>1983</v>
      </c>
      <c r="I225" s="3">
        <v>1983</v>
      </c>
      <c r="J225" s="3">
        <v>3691</v>
      </c>
      <c r="K225" s="3">
        <v>74.05</v>
      </c>
      <c r="L225" s="3">
        <v>0.93</v>
      </c>
      <c r="M225" s="3">
        <v>7</v>
      </c>
      <c r="N225" s="3">
        <v>4</v>
      </c>
      <c r="O225" s="3">
        <v>8</v>
      </c>
      <c r="P225" s="3">
        <v>7</v>
      </c>
      <c r="Q225" s="2" t="s">
        <v>235</v>
      </c>
      <c r="R225" s="2" t="s">
        <v>14</v>
      </c>
      <c r="S225" s="2" t="s">
        <v>15</v>
      </c>
      <c r="T225" s="2" t="s">
        <v>35</v>
      </c>
      <c r="U225" s="2" t="s">
        <v>8</v>
      </c>
      <c r="V225" s="4" t="s">
        <v>18</v>
      </c>
    </row>
    <row r="226" spans="2:22" x14ac:dyDescent="0.3">
      <c r="B226" s="5" t="s">
        <v>449</v>
      </c>
      <c r="C226" s="7" t="s">
        <v>449</v>
      </c>
      <c r="D226" s="5" t="s">
        <v>450</v>
      </c>
      <c r="E226" s="7" t="s">
        <v>740</v>
      </c>
      <c r="F226" s="6" t="s">
        <v>12</v>
      </c>
      <c r="G226" s="6" t="s">
        <v>12</v>
      </c>
      <c r="H226" s="7">
        <v>2001</v>
      </c>
      <c r="I226" s="7">
        <v>2001</v>
      </c>
      <c r="J226" s="7">
        <v>2057</v>
      </c>
      <c r="K226" s="7">
        <v>30.92</v>
      </c>
      <c r="L226" s="7">
        <v>15.5</v>
      </c>
      <c r="M226" s="7">
        <v>7</v>
      </c>
      <c r="N226" s="7">
        <v>2</v>
      </c>
      <c r="O226" s="7">
        <v>4</v>
      </c>
      <c r="P226" s="7">
        <v>6</v>
      </c>
      <c r="Q226" s="6" t="s">
        <v>13</v>
      </c>
      <c r="R226" s="6" t="s">
        <v>73</v>
      </c>
      <c r="S226" s="6" t="s">
        <v>212</v>
      </c>
      <c r="T226" s="6" t="s">
        <v>35</v>
      </c>
      <c r="U226" s="6" t="s">
        <v>17</v>
      </c>
      <c r="V226" s="8" t="s">
        <v>36</v>
      </c>
    </row>
    <row r="227" spans="2:22" x14ac:dyDescent="0.3">
      <c r="B227" s="1" t="s">
        <v>451</v>
      </c>
      <c r="C227" s="3" t="s">
        <v>451</v>
      </c>
      <c r="D227" s="1" t="s">
        <v>377</v>
      </c>
      <c r="E227" s="3" t="s">
        <v>715</v>
      </c>
      <c r="F227" s="2" t="s">
        <v>24</v>
      </c>
      <c r="G227" s="2" t="s">
        <v>24</v>
      </c>
      <c r="H227" s="3">
        <v>1991</v>
      </c>
      <c r="I227" s="3">
        <v>1991</v>
      </c>
      <c r="J227" s="3">
        <v>4555</v>
      </c>
      <c r="K227" s="3">
        <v>147.13</v>
      </c>
      <c r="L227" s="3">
        <v>21.48</v>
      </c>
      <c r="M227" s="3">
        <v>5</v>
      </c>
      <c r="N227" s="3">
        <v>2</v>
      </c>
      <c r="O227" s="3">
        <v>7</v>
      </c>
      <c r="P227" s="3">
        <v>6</v>
      </c>
      <c r="Q227" s="2" t="s">
        <v>65</v>
      </c>
      <c r="R227" s="2" t="s">
        <v>66</v>
      </c>
      <c r="S227" s="2" t="s">
        <v>67</v>
      </c>
      <c r="T227" s="2" t="s">
        <v>68</v>
      </c>
      <c r="U227" s="2" t="s">
        <v>17</v>
      </c>
      <c r="V227" s="4" t="s">
        <v>18</v>
      </c>
    </row>
    <row r="228" spans="2:22" x14ac:dyDescent="0.3">
      <c r="B228" s="5" t="s">
        <v>452</v>
      </c>
      <c r="C228" s="7" t="s">
        <v>452</v>
      </c>
      <c r="D228" s="5" t="s">
        <v>453</v>
      </c>
      <c r="E228" s="7" t="s">
        <v>741</v>
      </c>
      <c r="F228" s="6" t="s">
        <v>12</v>
      </c>
      <c r="G228" s="6" t="s">
        <v>12</v>
      </c>
      <c r="H228" s="7">
        <v>1997</v>
      </c>
      <c r="I228" s="7">
        <v>1997</v>
      </c>
      <c r="J228" s="7">
        <v>6325</v>
      </c>
      <c r="K228" s="7">
        <v>77.25</v>
      </c>
      <c r="L228" s="7">
        <v>11.34</v>
      </c>
      <c r="M228" s="7">
        <v>5</v>
      </c>
      <c r="N228" s="7">
        <v>7</v>
      </c>
      <c r="O228" s="7">
        <v>7</v>
      </c>
      <c r="P228" s="7">
        <v>3</v>
      </c>
      <c r="Q228" s="6" t="s">
        <v>55</v>
      </c>
      <c r="R228" s="6" t="s">
        <v>152</v>
      </c>
      <c r="S228" s="6" t="s">
        <v>212</v>
      </c>
      <c r="T228" s="6" t="s">
        <v>57</v>
      </c>
      <c r="U228" s="6" t="s">
        <v>17</v>
      </c>
      <c r="V228" s="8" t="s">
        <v>36</v>
      </c>
    </row>
    <row r="229" spans="2:22" x14ac:dyDescent="0.3">
      <c r="B229" s="1" t="s">
        <v>454</v>
      </c>
      <c r="C229" s="3" t="s">
        <v>454</v>
      </c>
      <c r="D229" s="1" t="s">
        <v>455</v>
      </c>
      <c r="E229" s="3" t="s">
        <v>742</v>
      </c>
      <c r="F229" s="2" t="s">
        <v>48</v>
      </c>
      <c r="G229" s="2" t="s">
        <v>48</v>
      </c>
      <c r="H229" s="3">
        <v>2012</v>
      </c>
      <c r="I229" s="3">
        <v>2012</v>
      </c>
      <c r="J229" s="3">
        <v>5319</v>
      </c>
      <c r="K229" s="3">
        <v>200.31</v>
      </c>
      <c r="L229" s="3">
        <v>10.88</v>
      </c>
      <c r="M229" s="3">
        <v>5</v>
      </c>
      <c r="N229" s="3">
        <v>2</v>
      </c>
      <c r="O229" s="3">
        <v>5</v>
      </c>
      <c r="P229" s="3">
        <v>6</v>
      </c>
      <c r="Q229" s="2" t="s">
        <v>60</v>
      </c>
      <c r="R229" s="2" t="s">
        <v>50</v>
      </c>
      <c r="S229" s="2" t="s">
        <v>51</v>
      </c>
      <c r="T229" s="2" t="s">
        <v>106</v>
      </c>
      <c r="U229" s="2" t="s">
        <v>17</v>
      </c>
      <c r="V229" s="4" t="s">
        <v>36</v>
      </c>
    </row>
    <row r="230" spans="2:22" x14ac:dyDescent="0.3">
      <c r="B230" s="5" t="s">
        <v>456</v>
      </c>
      <c r="C230" s="7" t="s">
        <v>456</v>
      </c>
      <c r="D230" s="5" t="s">
        <v>281</v>
      </c>
      <c r="E230" s="7" t="s">
        <v>677</v>
      </c>
      <c r="F230" s="6" t="s">
        <v>24</v>
      </c>
      <c r="G230" s="6" t="s">
        <v>24</v>
      </c>
      <c r="H230" s="7">
        <v>1986</v>
      </c>
      <c r="I230" s="7">
        <v>1986</v>
      </c>
      <c r="J230" s="7">
        <v>4110</v>
      </c>
      <c r="K230" s="7">
        <v>331.86</v>
      </c>
      <c r="L230" s="7">
        <v>2.1</v>
      </c>
      <c r="M230" s="7">
        <v>6</v>
      </c>
      <c r="N230" s="7">
        <v>6</v>
      </c>
      <c r="O230" s="7">
        <v>8</v>
      </c>
      <c r="P230" s="7">
        <v>2</v>
      </c>
      <c r="Q230" s="6" t="s">
        <v>141</v>
      </c>
      <c r="R230" s="6" t="s">
        <v>131</v>
      </c>
      <c r="S230" s="6" t="s">
        <v>67</v>
      </c>
      <c r="T230" s="6" t="s">
        <v>200</v>
      </c>
      <c r="U230" s="6" t="s">
        <v>29</v>
      </c>
      <c r="V230" s="8" t="s">
        <v>18</v>
      </c>
    </row>
    <row r="231" spans="2:22" x14ac:dyDescent="0.3">
      <c r="B231" s="1" t="s">
        <v>457</v>
      </c>
      <c r="C231" s="3" t="s">
        <v>457</v>
      </c>
      <c r="D231" s="1" t="s">
        <v>295</v>
      </c>
      <c r="E231" s="3" t="s">
        <v>683</v>
      </c>
      <c r="F231" s="2" t="s">
        <v>48</v>
      </c>
      <c r="G231" s="2" t="s">
        <v>48</v>
      </c>
      <c r="H231" s="3">
        <v>1981</v>
      </c>
      <c r="I231" s="3">
        <v>1981</v>
      </c>
      <c r="J231" s="3">
        <v>5811</v>
      </c>
      <c r="K231" s="3">
        <v>474.3</v>
      </c>
      <c r="L231" s="3">
        <v>-2.29</v>
      </c>
      <c r="M231" s="3">
        <v>8</v>
      </c>
      <c r="N231" s="3">
        <v>3</v>
      </c>
      <c r="O231" s="3">
        <v>7</v>
      </c>
      <c r="P231" s="3">
        <v>3</v>
      </c>
      <c r="Q231" s="2" t="s">
        <v>121</v>
      </c>
      <c r="R231" s="2" t="s">
        <v>99</v>
      </c>
      <c r="S231" s="2" t="s">
        <v>218</v>
      </c>
      <c r="T231" s="2" t="s">
        <v>62</v>
      </c>
      <c r="U231" s="2" t="s">
        <v>8</v>
      </c>
      <c r="V231" s="4" t="s">
        <v>18</v>
      </c>
    </row>
    <row r="232" spans="2:22" x14ac:dyDescent="0.3">
      <c r="B232" s="5" t="s">
        <v>458</v>
      </c>
      <c r="C232" s="7" t="s">
        <v>458</v>
      </c>
      <c r="D232" s="5" t="s">
        <v>459</v>
      </c>
      <c r="E232" s="7" t="s">
        <v>743</v>
      </c>
      <c r="F232" s="6" t="s">
        <v>24</v>
      </c>
      <c r="G232" s="6" t="s">
        <v>24</v>
      </c>
      <c r="H232" s="7">
        <v>1981</v>
      </c>
      <c r="I232" s="7">
        <v>1981</v>
      </c>
      <c r="J232" s="7">
        <v>8675</v>
      </c>
      <c r="K232" s="7">
        <v>244.21</v>
      </c>
      <c r="L232" s="7">
        <v>-0.56999999999999995</v>
      </c>
      <c r="M232" s="7">
        <v>6</v>
      </c>
      <c r="N232" s="7">
        <v>6</v>
      </c>
      <c r="O232" s="7">
        <v>4</v>
      </c>
      <c r="P232" s="7">
        <v>3</v>
      </c>
      <c r="Q232" s="6" t="s">
        <v>305</v>
      </c>
      <c r="R232" s="6" t="s">
        <v>66</v>
      </c>
      <c r="S232" s="6" t="s">
        <v>67</v>
      </c>
      <c r="T232" s="6" t="s">
        <v>16</v>
      </c>
      <c r="U232" s="6" t="s">
        <v>8</v>
      </c>
      <c r="V232" s="8" t="s">
        <v>36</v>
      </c>
    </row>
    <row r="233" spans="2:22" x14ac:dyDescent="0.3">
      <c r="B233" s="1" t="s">
        <v>460</v>
      </c>
      <c r="C233" s="3" t="s">
        <v>460</v>
      </c>
      <c r="D233" s="1" t="s">
        <v>461</v>
      </c>
      <c r="E233" s="3" t="s">
        <v>744</v>
      </c>
      <c r="F233" s="2" t="s">
        <v>48</v>
      </c>
      <c r="G233" s="2" t="s">
        <v>48</v>
      </c>
      <c r="H233" s="3">
        <v>2003</v>
      </c>
      <c r="I233" s="3">
        <v>2003</v>
      </c>
      <c r="J233" s="3">
        <v>1238</v>
      </c>
      <c r="K233" s="3">
        <v>193.06</v>
      </c>
      <c r="L233" s="3">
        <v>16.97</v>
      </c>
      <c r="M233" s="3">
        <v>9</v>
      </c>
      <c r="N233" s="3">
        <v>5</v>
      </c>
      <c r="O233" s="3">
        <v>7</v>
      </c>
      <c r="P233" s="3">
        <v>2</v>
      </c>
      <c r="Q233" s="2" t="s">
        <v>124</v>
      </c>
      <c r="R233" s="2" t="s">
        <v>99</v>
      </c>
      <c r="S233" s="2" t="s">
        <v>51</v>
      </c>
      <c r="T233" s="2" t="s">
        <v>100</v>
      </c>
      <c r="U233" s="2" t="s">
        <v>29</v>
      </c>
      <c r="V233" s="4" t="s">
        <v>18</v>
      </c>
    </row>
    <row r="234" spans="2:22" x14ac:dyDescent="0.3">
      <c r="B234" s="5" t="s">
        <v>462</v>
      </c>
      <c r="C234" s="7" t="s">
        <v>462</v>
      </c>
      <c r="D234" s="5" t="s">
        <v>165</v>
      </c>
      <c r="E234" s="7" t="s">
        <v>629</v>
      </c>
      <c r="F234" s="6" t="s">
        <v>3</v>
      </c>
      <c r="G234" s="6" t="s">
        <v>3</v>
      </c>
      <c r="H234" s="7">
        <v>1991</v>
      </c>
      <c r="I234" s="7">
        <v>1991</v>
      </c>
      <c r="J234" s="7">
        <v>9257</v>
      </c>
      <c r="K234" s="7">
        <v>349.84</v>
      </c>
      <c r="L234" s="7">
        <v>-1.18</v>
      </c>
      <c r="M234" s="7">
        <v>8</v>
      </c>
      <c r="N234" s="7">
        <v>4</v>
      </c>
      <c r="O234" s="7">
        <v>4</v>
      </c>
      <c r="P234" s="7">
        <v>7</v>
      </c>
      <c r="Q234" s="6" t="s">
        <v>45</v>
      </c>
      <c r="R234" s="6" t="s">
        <v>115</v>
      </c>
      <c r="S234" s="6" t="s">
        <v>40</v>
      </c>
      <c r="T234" s="6" t="s">
        <v>78</v>
      </c>
      <c r="U234" s="6" t="s">
        <v>42</v>
      </c>
      <c r="V234" s="8" t="s">
        <v>36</v>
      </c>
    </row>
    <row r="235" spans="2:22" x14ac:dyDescent="0.3">
      <c r="B235" s="1" t="s">
        <v>463</v>
      </c>
      <c r="C235" s="3" t="s">
        <v>463</v>
      </c>
      <c r="D235" s="1" t="s">
        <v>216</v>
      </c>
      <c r="E235" s="3" t="s">
        <v>650</v>
      </c>
      <c r="F235" s="2" t="s">
        <v>81</v>
      </c>
      <c r="G235" s="2" t="s">
        <v>81</v>
      </c>
      <c r="H235" s="3">
        <v>2016</v>
      </c>
      <c r="I235" s="3">
        <v>2016</v>
      </c>
      <c r="J235" s="3">
        <v>580</v>
      </c>
      <c r="K235" s="3">
        <v>99.22</v>
      </c>
      <c r="L235" s="3">
        <v>17.36</v>
      </c>
      <c r="M235" s="3">
        <v>6</v>
      </c>
      <c r="N235" s="3">
        <v>6</v>
      </c>
      <c r="O235" s="3">
        <v>4</v>
      </c>
      <c r="P235" s="3">
        <v>7</v>
      </c>
      <c r="Q235" s="2" t="s">
        <v>82</v>
      </c>
      <c r="R235" s="2" t="s">
        <v>83</v>
      </c>
      <c r="S235" s="2" t="s">
        <v>145</v>
      </c>
      <c r="T235" s="2" t="s">
        <v>111</v>
      </c>
      <c r="U235" s="2" t="s">
        <v>42</v>
      </c>
      <c r="V235" s="4" t="s">
        <v>96</v>
      </c>
    </row>
    <row r="236" spans="2:22" x14ac:dyDescent="0.3">
      <c r="B236" s="5" t="s">
        <v>464</v>
      </c>
      <c r="C236" s="7" t="s">
        <v>464</v>
      </c>
      <c r="D236" s="5" t="s">
        <v>465</v>
      </c>
      <c r="E236" s="7" t="s">
        <v>745</v>
      </c>
      <c r="F236" s="6" t="s">
        <v>3</v>
      </c>
      <c r="G236" s="6" t="s">
        <v>3</v>
      </c>
      <c r="H236" s="7">
        <v>1990</v>
      </c>
      <c r="I236" s="7">
        <v>1990</v>
      </c>
      <c r="J236" s="7">
        <v>1503</v>
      </c>
      <c r="K236" s="7">
        <v>412.61</v>
      </c>
      <c r="L236" s="7">
        <v>15.8</v>
      </c>
      <c r="M236" s="7">
        <v>9</v>
      </c>
      <c r="N236" s="7">
        <v>7</v>
      </c>
      <c r="O236" s="7">
        <v>8</v>
      </c>
      <c r="P236" s="7">
        <v>4</v>
      </c>
      <c r="Q236" s="6" t="s">
        <v>39</v>
      </c>
      <c r="R236" s="6" t="s">
        <v>77</v>
      </c>
      <c r="S236" s="6" t="s">
        <v>173</v>
      </c>
      <c r="T236" s="6" t="s">
        <v>41</v>
      </c>
      <c r="U236" s="6" t="s">
        <v>29</v>
      </c>
      <c r="V236" s="8" t="s">
        <v>18</v>
      </c>
    </row>
    <row r="237" spans="2:22" x14ac:dyDescent="0.3">
      <c r="B237" s="1" t="s">
        <v>466</v>
      </c>
      <c r="C237" s="3" t="s">
        <v>466</v>
      </c>
      <c r="D237" s="1" t="s">
        <v>383</v>
      </c>
      <c r="E237" s="3" t="s">
        <v>717</v>
      </c>
      <c r="F237" s="2" t="s">
        <v>12</v>
      </c>
      <c r="G237" s="2" t="s">
        <v>12</v>
      </c>
      <c r="H237" s="3">
        <v>1980</v>
      </c>
      <c r="I237" s="3">
        <v>1980</v>
      </c>
      <c r="J237" s="3">
        <v>838</v>
      </c>
      <c r="K237" s="3">
        <v>199.11</v>
      </c>
      <c r="L237" s="3">
        <v>19.86</v>
      </c>
      <c r="M237" s="3">
        <v>9</v>
      </c>
      <c r="N237" s="3">
        <v>5</v>
      </c>
      <c r="O237" s="3">
        <v>4</v>
      </c>
      <c r="P237" s="3">
        <v>5</v>
      </c>
      <c r="Q237" s="2" t="s">
        <v>13</v>
      </c>
      <c r="R237" s="2" t="s">
        <v>73</v>
      </c>
      <c r="S237" s="2" t="s">
        <v>34</v>
      </c>
      <c r="T237" s="2" t="s">
        <v>74</v>
      </c>
      <c r="U237" s="2" t="s">
        <v>8</v>
      </c>
      <c r="V237" s="4" t="s">
        <v>36</v>
      </c>
    </row>
    <row r="238" spans="2:22" x14ac:dyDescent="0.3">
      <c r="B238" s="5" t="s">
        <v>467</v>
      </c>
      <c r="C238" s="7" t="s">
        <v>467</v>
      </c>
      <c r="D238" s="5" t="s">
        <v>468</v>
      </c>
      <c r="E238" s="7" t="s">
        <v>746</v>
      </c>
      <c r="F238" s="6" t="s">
        <v>24</v>
      </c>
      <c r="G238" s="6" t="s">
        <v>24</v>
      </c>
      <c r="H238" s="7">
        <v>2008</v>
      </c>
      <c r="I238" s="7">
        <v>2008</v>
      </c>
      <c r="J238" s="7">
        <v>1257</v>
      </c>
      <c r="K238" s="7">
        <v>401.61</v>
      </c>
      <c r="L238" s="7">
        <v>21.64</v>
      </c>
      <c r="M238" s="7">
        <v>4</v>
      </c>
      <c r="N238" s="7">
        <v>4</v>
      </c>
      <c r="O238" s="7">
        <v>3</v>
      </c>
      <c r="P238" s="7">
        <v>4</v>
      </c>
      <c r="Q238" s="6" t="s">
        <v>305</v>
      </c>
      <c r="R238" s="6" t="s">
        <v>195</v>
      </c>
      <c r="S238" s="6" t="s">
        <v>93</v>
      </c>
      <c r="T238" s="6" t="s">
        <v>28</v>
      </c>
      <c r="U238" s="6" t="s">
        <v>29</v>
      </c>
      <c r="V238" s="8" t="s">
        <v>9</v>
      </c>
    </row>
    <row r="239" spans="2:22" x14ac:dyDescent="0.3">
      <c r="B239" s="1" t="s">
        <v>469</v>
      </c>
      <c r="C239" s="3" t="s">
        <v>469</v>
      </c>
      <c r="D239" s="1" t="s">
        <v>470</v>
      </c>
      <c r="E239" s="3" t="s">
        <v>747</v>
      </c>
      <c r="F239" s="2" t="s">
        <v>48</v>
      </c>
      <c r="G239" s="2" t="s">
        <v>48</v>
      </c>
      <c r="H239" s="3">
        <v>1985</v>
      </c>
      <c r="I239" s="3">
        <v>1985</v>
      </c>
      <c r="J239" s="3">
        <v>5586</v>
      </c>
      <c r="K239" s="3">
        <v>301.07</v>
      </c>
      <c r="L239" s="3">
        <v>-1.96</v>
      </c>
      <c r="M239" s="3">
        <v>8</v>
      </c>
      <c r="N239" s="3">
        <v>5</v>
      </c>
      <c r="O239" s="3">
        <v>8</v>
      </c>
      <c r="P239" s="3">
        <v>2</v>
      </c>
      <c r="Q239" s="2" t="s">
        <v>121</v>
      </c>
      <c r="R239" s="2" t="s">
        <v>14</v>
      </c>
      <c r="S239" s="2" t="s">
        <v>89</v>
      </c>
      <c r="T239" s="2" t="s">
        <v>100</v>
      </c>
      <c r="U239" s="2" t="s">
        <v>8</v>
      </c>
      <c r="V239" s="4" t="s">
        <v>18</v>
      </c>
    </row>
    <row r="240" spans="2:22" x14ac:dyDescent="0.3">
      <c r="B240" s="5" t="s">
        <v>471</v>
      </c>
      <c r="C240" s="7" t="s">
        <v>471</v>
      </c>
      <c r="D240" s="5" t="s">
        <v>283</v>
      </c>
      <c r="E240" s="7" t="s">
        <v>678</v>
      </c>
      <c r="F240" s="6" t="s">
        <v>81</v>
      </c>
      <c r="G240" s="6" t="s">
        <v>81</v>
      </c>
      <c r="H240" s="7">
        <v>2015</v>
      </c>
      <c r="I240" s="7">
        <v>2015</v>
      </c>
      <c r="J240" s="7">
        <v>8899</v>
      </c>
      <c r="K240" s="7">
        <v>139.97999999999999</v>
      </c>
      <c r="L240" s="7">
        <v>5.82</v>
      </c>
      <c r="M240" s="7">
        <v>6</v>
      </c>
      <c r="N240" s="7">
        <v>4</v>
      </c>
      <c r="O240" s="7">
        <v>4</v>
      </c>
      <c r="P240" s="7">
        <v>2</v>
      </c>
      <c r="Q240" s="6" t="s">
        <v>87</v>
      </c>
      <c r="R240" s="6" t="s">
        <v>88</v>
      </c>
      <c r="S240" s="6" t="s">
        <v>145</v>
      </c>
      <c r="T240" s="6" t="s">
        <v>111</v>
      </c>
      <c r="U240" s="6" t="s">
        <v>8</v>
      </c>
      <c r="V240" s="8" t="s">
        <v>18</v>
      </c>
    </row>
    <row r="241" spans="2:22" x14ac:dyDescent="0.3">
      <c r="B241" s="1" t="s">
        <v>472</v>
      </c>
      <c r="C241" s="3" t="s">
        <v>472</v>
      </c>
      <c r="D241" s="1" t="s">
        <v>473</v>
      </c>
      <c r="E241" s="3" t="s">
        <v>748</v>
      </c>
      <c r="F241" s="2" t="s">
        <v>3</v>
      </c>
      <c r="G241" s="2" t="s">
        <v>3</v>
      </c>
      <c r="H241" s="3">
        <v>2020</v>
      </c>
      <c r="I241" s="3">
        <v>2020</v>
      </c>
      <c r="J241" s="3">
        <v>9883</v>
      </c>
      <c r="K241" s="3">
        <v>245.36</v>
      </c>
      <c r="L241" s="3">
        <v>18.55</v>
      </c>
      <c r="M241" s="3">
        <v>4</v>
      </c>
      <c r="N241" s="3">
        <v>2</v>
      </c>
      <c r="O241" s="3">
        <v>4</v>
      </c>
      <c r="P241" s="3">
        <v>3</v>
      </c>
      <c r="Q241" s="2" t="s">
        <v>161</v>
      </c>
      <c r="R241" s="2" t="s">
        <v>77</v>
      </c>
      <c r="S241" s="2" t="s">
        <v>40</v>
      </c>
      <c r="T241" s="2" t="s">
        <v>7</v>
      </c>
      <c r="U241" s="2" t="s">
        <v>42</v>
      </c>
      <c r="V241" s="4" t="s">
        <v>36</v>
      </c>
    </row>
    <row r="242" spans="2:22" x14ac:dyDescent="0.3">
      <c r="B242" s="5" t="s">
        <v>474</v>
      </c>
      <c r="C242" s="7" t="s">
        <v>474</v>
      </c>
      <c r="D242" s="5" t="s">
        <v>397</v>
      </c>
      <c r="E242" s="7" t="s">
        <v>723</v>
      </c>
      <c r="F242" s="6" t="s">
        <v>3</v>
      </c>
      <c r="G242" s="6" t="s">
        <v>3</v>
      </c>
      <c r="H242" s="7">
        <v>1985</v>
      </c>
      <c r="I242" s="7">
        <v>1985</v>
      </c>
      <c r="J242" s="7">
        <v>8964</v>
      </c>
      <c r="K242" s="7">
        <v>199.89</v>
      </c>
      <c r="L242" s="7">
        <v>2.9</v>
      </c>
      <c r="M242" s="7">
        <v>6</v>
      </c>
      <c r="N242" s="7">
        <v>5</v>
      </c>
      <c r="O242" s="7">
        <v>5</v>
      </c>
      <c r="P242" s="7">
        <v>3</v>
      </c>
      <c r="Q242" s="6" t="s">
        <v>39</v>
      </c>
      <c r="R242" s="6" t="s">
        <v>77</v>
      </c>
      <c r="S242" s="6" t="s">
        <v>173</v>
      </c>
      <c r="T242" s="6" t="s">
        <v>21</v>
      </c>
      <c r="U242" s="6" t="s">
        <v>17</v>
      </c>
      <c r="V242" s="8" t="s">
        <v>36</v>
      </c>
    </row>
    <row r="243" spans="2:22" x14ac:dyDescent="0.3">
      <c r="B243" s="1" t="s">
        <v>475</v>
      </c>
      <c r="C243" s="3" t="s">
        <v>475</v>
      </c>
      <c r="D243" s="1" t="s">
        <v>245</v>
      </c>
      <c r="E243" s="3" t="s">
        <v>662</v>
      </c>
      <c r="F243" s="2" t="s">
        <v>12</v>
      </c>
      <c r="G243" s="2" t="s">
        <v>12</v>
      </c>
      <c r="H243" s="3">
        <v>1989</v>
      </c>
      <c r="I243" s="3">
        <v>1989</v>
      </c>
      <c r="J243" s="3">
        <v>1634</v>
      </c>
      <c r="K243" s="3">
        <v>52</v>
      </c>
      <c r="L243" s="3">
        <v>12.18</v>
      </c>
      <c r="M243" s="3">
        <v>6</v>
      </c>
      <c r="N243" s="3">
        <v>6</v>
      </c>
      <c r="O243" s="3">
        <v>6</v>
      </c>
      <c r="P243" s="3">
        <v>6</v>
      </c>
      <c r="Q243" s="2" t="s">
        <v>95</v>
      </c>
      <c r="R243" s="2" t="s">
        <v>152</v>
      </c>
      <c r="S243" s="2" t="s">
        <v>212</v>
      </c>
      <c r="T243" s="2" t="s">
        <v>74</v>
      </c>
      <c r="U243" s="2" t="s">
        <v>17</v>
      </c>
      <c r="V243" s="4" t="s">
        <v>9</v>
      </c>
    </row>
    <row r="244" spans="2:22" x14ac:dyDescent="0.3">
      <c r="B244" s="5" t="s">
        <v>476</v>
      </c>
      <c r="C244" s="7" t="s">
        <v>476</v>
      </c>
      <c r="D244" s="5" t="s">
        <v>273</v>
      </c>
      <c r="E244" s="7" t="s">
        <v>674</v>
      </c>
      <c r="F244" s="6" t="s">
        <v>3</v>
      </c>
      <c r="G244" s="6" t="s">
        <v>3</v>
      </c>
      <c r="H244" s="7">
        <v>1985</v>
      </c>
      <c r="I244" s="7">
        <v>1985</v>
      </c>
      <c r="J244" s="7">
        <v>6518</v>
      </c>
      <c r="K244" s="7">
        <v>452.36</v>
      </c>
      <c r="L244" s="7">
        <v>23.47</v>
      </c>
      <c r="M244" s="7">
        <v>9</v>
      </c>
      <c r="N244" s="7">
        <v>2</v>
      </c>
      <c r="O244" s="7">
        <v>7</v>
      </c>
      <c r="P244" s="7">
        <v>6</v>
      </c>
      <c r="Q244" s="6" t="s">
        <v>45</v>
      </c>
      <c r="R244" s="6" t="s">
        <v>115</v>
      </c>
      <c r="S244" s="6" t="s">
        <v>6</v>
      </c>
      <c r="T244" s="6" t="s">
        <v>21</v>
      </c>
      <c r="U244" s="6" t="s">
        <v>29</v>
      </c>
      <c r="V244" s="8" t="s">
        <v>18</v>
      </c>
    </row>
    <row r="245" spans="2:22" x14ac:dyDescent="0.3">
      <c r="B245" s="1" t="s">
        <v>477</v>
      </c>
      <c r="C245" s="3" t="s">
        <v>477</v>
      </c>
      <c r="D245" s="1" t="s">
        <v>300</v>
      </c>
      <c r="E245" s="3" t="s">
        <v>685</v>
      </c>
      <c r="F245" s="2" t="s">
        <v>24</v>
      </c>
      <c r="G245" s="2" t="s">
        <v>24</v>
      </c>
      <c r="H245" s="3">
        <v>1988</v>
      </c>
      <c r="I245" s="3">
        <v>1988</v>
      </c>
      <c r="J245" s="3">
        <v>749</v>
      </c>
      <c r="K245" s="3">
        <v>217.45</v>
      </c>
      <c r="L245" s="3">
        <v>6.64</v>
      </c>
      <c r="M245" s="3">
        <v>9</v>
      </c>
      <c r="N245" s="3">
        <v>5</v>
      </c>
      <c r="O245" s="3">
        <v>4</v>
      </c>
      <c r="P245" s="3">
        <v>7</v>
      </c>
      <c r="Q245" s="2" t="s">
        <v>141</v>
      </c>
      <c r="R245" s="2" t="s">
        <v>26</v>
      </c>
      <c r="S245" s="2" t="s">
        <v>67</v>
      </c>
      <c r="T245" s="2" t="s">
        <v>16</v>
      </c>
      <c r="U245" s="2" t="s">
        <v>8</v>
      </c>
      <c r="V245" s="4" t="s">
        <v>36</v>
      </c>
    </row>
    <row r="246" spans="2:22" x14ac:dyDescent="0.3">
      <c r="B246" s="5" t="s">
        <v>478</v>
      </c>
      <c r="C246" s="7" t="s">
        <v>478</v>
      </c>
      <c r="D246" s="5" t="s">
        <v>479</v>
      </c>
      <c r="E246" s="7" t="s">
        <v>749</v>
      </c>
      <c r="F246" s="6" t="s">
        <v>3</v>
      </c>
      <c r="G246" s="6" t="s">
        <v>3</v>
      </c>
      <c r="H246" s="7">
        <v>1997</v>
      </c>
      <c r="I246" s="7">
        <v>1997</v>
      </c>
      <c r="J246" s="7">
        <v>8564</v>
      </c>
      <c r="K246" s="7">
        <v>234.5</v>
      </c>
      <c r="L246" s="7">
        <v>-0.55000000000000004</v>
      </c>
      <c r="M246" s="7">
        <v>4</v>
      </c>
      <c r="N246" s="7">
        <v>7</v>
      </c>
      <c r="O246" s="7">
        <v>7</v>
      </c>
      <c r="P246" s="7">
        <v>6</v>
      </c>
      <c r="Q246" s="6" t="s">
        <v>45</v>
      </c>
      <c r="R246" s="6" t="s">
        <v>5</v>
      </c>
      <c r="S246" s="6" t="s">
        <v>6</v>
      </c>
      <c r="T246" s="6" t="s">
        <v>21</v>
      </c>
      <c r="U246" s="6" t="s">
        <v>29</v>
      </c>
      <c r="V246" s="8" t="s">
        <v>9</v>
      </c>
    </row>
    <row r="247" spans="2:22" x14ac:dyDescent="0.3">
      <c r="B247" s="1" t="s">
        <v>480</v>
      </c>
      <c r="C247" s="3" t="s">
        <v>480</v>
      </c>
      <c r="D247" s="1" t="s">
        <v>481</v>
      </c>
      <c r="E247" s="3" t="s">
        <v>750</v>
      </c>
      <c r="F247" s="2" t="s">
        <v>12</v>
      </c>
      <c r="G247" s="2" t="s">
        <v>12</v>
      </c>
      <c r="H247" s="3">
        <v>2016</v>
      </c>
      <c r="I247" s="3">
        <v>2016</v>
      </c>
      <c r="J247" s="3">
        <v>1704</v>
      </c>
      <c r="K247" s="3">
        <v>395.02</v>
      </c>
      <c r="L247" s="3">
        <v>3.26</v>
      </c>
      <c r="M247" s="3">
        <v>8</v>
      </c>
      <c r="N247" s="3">
        <v>4</v>
      </c>
      <c r="O247" s="3">
        <v>6</v>
      </c>
      <c r="P247" s="3">
        <v>4</v>
      </c>
      <c r="Q247" s="2" t="s">
        <v>13</v>
      </c>
      <c r="R247" s="2" t="s">
        <v>73</v>
      </c>
      <c r="S247" s="2" t="s">
        <v>212</v>
      </c>
      <c r="T247" s="2" t="s">
        <v>35</v>
      </c>
      <c r="U247" s="2" t="s">
        <v>29</v>
      </c>
      <c r="V247" s="4" t="s">
        <v>18</v>
      </c>
    </row>
    <row r="248" spans="2:22" x14ac:dyDescent="0.3">
      <c r="B248" s="5" t="s">
        <v>482</v>
      </c>
      <c r="C248" s="7" t="s">
        <v>482</v>
      </c>
      <c r="D248" s="5" t="s">
        <v>247</v>
      </c>
      <c r="E248" s="7" t="s">
        <v>663</v>
      </c>
      <c r="F248" s="6" t="s">
        <v>48</v>
      </c>
      <c r="G248" s="6" t="s">
        <v>48</v>
      </c>
      <c r="H248" s="7">
        <v>2005</v>
      </c>
      <c r="I248" s="7">
        <v>2005</v>
      </c>
      <c r="J248" s="7">
        <v>685</v>
      </c>
      <c r="K248" s="7">
        <v>203.94</v>
      </c>
      <c r="L248" s="7">
        <v>19.52</v>
      </c>
      <c r="M248" s="7">
        <v>6</v>
      </c>
      <c r="N248" s="7">
        <v>7</v>
      </c>
      <c r="O248" s="7">
        <v>4</v>
      </c>
      <c r="P248" s="7">
        <v>2</v>
      </c>
      <c r="Q248" s="6" t="s">
        <v>121</v>
      </c>
      <c r="R248" s="6" t="s">
        <v>99</v>
      </c>
      <c r="S248" s="6" t="s">
        <v>51</v>
      </c>
      <c r="T248" s="6" t="s">
        <v>106</v>
      </c>
      <c r="U248" s="6" t="s">
        <v>42</v>
      </c>
      <c r="V248" s="8" t="s">
        <v>36</v>
      </c>
    </row>
    <row r="249" spans="2:22" x14ac:dyDescent="0.3">
      <c r="B249" s="1" t="s">
        <v>483</v>
      </c>
      <c r="C249" s="3" t="s">
        <v>483</v>
      </c>
      <c r="D249" s="1" t="s">
        <v>143</v>
      </c>
      <c r="E249" s="3" t="s">
        <v>622</v>
      </c>
      <c r="F249" s="2" t="s">
        <v>3</v>
      </c>
      <c r="G249" s="2" t="s">
        <v>3</v>
      </c>
      <c r="H249" s="3">
        <v>2011</v>
      </c>
      <c r="I249" s="3">
        <v>2011</v>
      </c>
      <c r="J249" s="3">
        <v>1659</v>
      </c>
      <c r="K249" s="3">
        <v>486.52</v>
      </c>
      <c r="L249" s="3">
        <v>0.64</v>
      </c>
      <c r="M249" s="3">
        <v>5</v>
      </c>
      <c r="N249" s="3">
        <v>3</v>
      </c>
      <c r="O249" s="3">
        <v>5</v>
      </c>
      <c r="P249" s="3">
        <v>7</v>
      </c>
      <c r="Q249" s="2" t="s">
        <v>39</v>
      </c>
      <c r="R249" s="2" t="s">
        <v>157</v>
      </c>
      <c r="S249" s="2" t="s">
        <v>173</v>
      </c>
      <c r="T249" s="2" t="s">
        <v>21</v>
      </c>
      <c r="U249" s="2" t="s">
        <v>8</v>
      </c>
      <c r="V249" s="4" t="s">
        <v>9</v>
      </c>
    </row>
    <row r="250" spans="2:22" x14ac:dyDescent="0.3">
      <c r="B250" s="5" t="s">
        <v>484</v>
      </c>
      <c r="C250" s="7" t="s">
        <v>484</v>
      </c>
      <c r="D250" s="5" t="s">
        <v>149</v>
      </c>
      <c r="E250" s="7" t="s">
        <v>624</v>
      </c>
      <c r="F250" s="6" t="s">
        <v>81</v>
      </c>
      <c r="G250" s="6" t="s">
        <v>81</v>
      </c>
      <c r="H250" s="7">
        <v>2013</v>
      </c>
      <c r="I250" s="7">
        <v>2013</v>
      </c>
      <c r="J250" s="7">
        <v>6176</v>
      </c>
      <c r="K250" s="7">
        <v>412.3</v>
      </c>
      <c r="L250" s="7">
        <v>0.78</v>
      </c>
      <c r="M250" s="7">
        <v>8</v>
      </c>
      <c r="N250" s="7">
        <v>3</v>
      </c>
      <c r="O250" s="7">
        <v>3</v>
      </c>
      <c r="P250" s="7">
        <v>4</v>
      </c>
      <c r="Q250" s="6" t="s">
        <v>82</v>
      </c>
      <c r="R250" s="6" t="s">
        <v>88</v>
      </c>
      <c r="S250" s="6" t="s">
        <v>209</v>
      </c>
      <c r="T250" s="6" t="s">
        <v>84</v>
      </c>
      <c r="U250" s="6" t="s">
        <v>29</v>
      </c>
      <c r="V250" s="8" t="s">
        <v>18</v>
      </c>
    </row>
    <row r="251" spans="2:22" x14ac:dyDescent="0.3">
      <c r="B251" s="1" t="s">
        <v>485</v>
      </c>
      <c r="C251" s="3" t="s">
        <v>485</v>
      </c>
      <c r="D251" s="1" t="s">
        <v>486</v>
      </c>
      <c r="E251" s="3" t="s">
        <v>751</v>
      </c>
      <c r="F251" s="2" t="s">
        <v>24</v>
      </c>
      <c r="G251" s="2" t="s">
        <v>24</v>
      </c>
      <c r="H251" s="3">
        <v>1982</v>
      </c>
      <c r="I251" s="3">
        <v>1982</v>
      </c>
      <c r="J251" s="3">
        <v>7528</v>
      </c>
      <c r="K251" s="3">
        <v>34.770000000000003</v>
      </c>
      <c r="L251" s="3">
        <v>2.2599999999999998</v>
      </c>
      <c r="M251" s="3">
        <v>6</v>
      </c>
      <c r="N251" s="3">
        <v>7</v>
      </c>
      <c r="O251" s="3">
        <v>4</v>
      </c>
      <c r="P251" s="3">
        <v>4</v>
      </c>
      <c r="Q251" s="2" t="s">
        <v>305</v>
      </c>
      <c r="R251" s="2" t="s">
        <v>131</v>
      </c>
      <c r="S251" s="2" t="s">
        <v>27</v>
      </c>
      <c r="T251" s="2" t="s">
        <v>16</v>
      </c>
      <c r="U251" s="2" t="s">
        <v>8</v>
      </c>
      <c r="V251" s="4" t="s">
        <v>9</v>
      </c>
    </row>
    <row r="252" spans="2:22" x14ac:dyDescent="0.3">
      <c r="B252" s="5" t="s">
        <v>487</v>
      </c>
      <c r="C252" s="7" t="s">
        <v>487</v>
      </c>
      <c r="D252" s="5" t="s">
        <v>216</v>
      </c>
      <c r="E252" s="7" t="s">
        <v>650</v>
      </c>
      <c r="F252" s="6" t="s">
        <v>81</v>
      </c>
      <c r="G252" s="6" t="s">
        <v>81</v>
      </c>
      <c r="H252" s="7">
        <v>1991</v>
      </c>
      <c r="I252" s="7">
        <v>1991</v>
      </c>
      <c r="J252" s="7">
        <v>7825</v>
      </c>
      <c r="K252" s="7">
        <v>297.57</v>
      </c>
      <c r="L252" s="7">
        <v>-0.11</v>
      </c>
      <c r="M252" s="7">
        <v>6</v>
      </c>
      <c r="N252" s="7">
        <v>4</v>
      </c>
      <c r="O252" s="7">
        <v>4</v>
      </c>
      <c r="P252" s="7">
        <v>4</v>
      </c>
      <c r="Q252" s="6" t="s">
        <v>87</v>
      </c>
      <c r="R252" s="6" t="s">
        <v>139</v>
      </c>
      <c r="S252" s="6" t="s">
        <v>82</v>
      </c>
      <c r="T252" s="6" t="s">
        <v>90</v>
      </c>
      <c r="U252" s="6" t="s">
        <v>8</v>
      </c>
      <c r="V252" s="8" t="s">
        <v>36</v>
      </c>
    </row>
    <row r="253" spans="2:22" x14ac:dyDescent="0.3">
      <c r="B253" s="1" t="s">
        <v>488</v>
      </c>
      <c r="C253" s="3" t="s">
        <v>488</v>
      </c>
      <c r="D253" s="1" t="s">
        <v>297</v>
      </c>
      <c r="E253" s="3" t="s">
        <v>684</v>
      </c>
      <c r="F253" s="2" t="s">
        <v>24</v>
      </c>
      <c r="G253" s="2" t="s">
        <v>24</v>
      </c>
      <c r="H253" s="3">
        <v>1994</v>
      </c>
      <c r="I253" s="3">
        <v>1994</v>
      </c>
      <c r="J253" s="3">
        <v>3437</v>
      </c>
      <c r="K253" s="3">
        <v>141.85</v>
      </c>
      <c r="L253" s="3">
        <v>1.71</v>
      </c>
      <c r="M253" s="3">
        <v>7</v>
      </c>
      <c r="N253" s="3">
        <v>6</v>
      </c>
      <c r="O253" s="3">
        <v>3</v>
      </c>
      <c r="P253" s="3">
        <v>7</v>
      </c>
      <c r="Q253" s="2" t="s">
        <v>60</v>
      </c>
      <c r="R253" s="2" t="s">
        <v>131</v>
      </c>
      <c r="S253" s="2" t="s">
        <v>132</v>
      </c>
      <c r="T253" s="2" t="s">
        <v>200</v>
      </c>
      <c r="U253" s="2" t="s">
        <v>8</v>
      </c>
      <c r="V253" s="4" t="s">
        <v>96</v>
      </c>
    </row>
    <row r="254" spans="2:22" x14ac:dyDescent="0.3">
      <c r="B254" s="5" t="s">
        <v>489</v>
      </c>
      <c r="C254" s="7" t="s">
        <v>489</v>
      </c>
      <c r="D254" s="5" t="s">
        <v>163</v>
      </c>
      <c r="E254" s="7" t="s">
        <v>628</v>
      </c>
      <c r="F254" s="6" t="s">
        <v>81</v>
      </c>
      <c r="G254" s="6" t="s">
        <v>81</v>
      </c>
      <c r="H254" s="7">
        <v>2004</v>
      </c>
      <c r="I254" s="7">
        <v>2004</v>
      </c>
      <c r="J254" s="7">
        <v>5763</v>
      </c>
      <c r="K254" s="7">
        <v>234.91</v>
      </c>
      <c r="L254" s="7">
        <v>11.84</v>
      </c>
      <c r="M254" s="7">
        <v>5</v>
      </c>
      <c r="N254" s="7">
        <v>5</v>
      </c>
      <c r="O254" s="7">
        <v>5</v>
      </c>
      <c r="P254" s="7">
        <v>7</v>
      </c>
      <c r="Q254" s="6" t="s">
        <v>82</v>
      </c>
      <c r="R254" s="6" t="s">
        <v>88</v>
      </c>
      <c r="S254" s="6" t="s">
        <v>82</v>
      </c>
      <c r="T254" s="6" t="s">
        <v>84</v>
      </c>
      <c r="U254" s="6" t="s">
        <v>42</v>
      </c>
      <c r="V254" s="8" t="s">
        <v>9</v>
      </c>
    </row>
    <row r="255" spans="2:22" x14ac:dyDescent="0.3">
      <c r="B255" s="1" t="s">
        <v>490</v>
      </c>
      <c r="C255" s="3" t="s">
        <v>490</v>
      </c>
      <c r="D255" s="1" t="s">
        <v>491</v>
      </c>
      <c r="E255" s="3" t="s">
        <v>752</v>
      </c>
      <c r="F255" s="2" t="s">
        <v>12</v>
      </c>
      <c r="G255" s="2" t="s">
        <v>12</v>
      </c>
      <c r="H255" s="3">
        <v>2010</v>
      </c>
      <c r="I255" s="3">
        <v>2010</v>
      </c>
      <c r="J255" s="3">
        <v>1095</v>
      </c>
      <c r="K255" s="3">
        <v>174.78</v>
      </c>
      <c r="L255" s="3">
        <v>21.99</v>
      </c>
      <c r="M255" s="3">
        <v>6</v>
      </c>
      <c r="N255" s="3">
        <v>7</v>
      </c>
      <c r="O255" s="3">
        <v>5</v>
      </c>
      <c r="P255" s="3">
        <v>4</v>
      </c>
      <c r="Q255" s="2" t="s">
        <v>32</v>
      </c>
      <c r="R255" s="2" t="s">
        <v>14</v>
      </c>
      <c r="S255" s="2" t="s">
        <v>56</v>
      </c>
      <c r="T255" s="2" t="s">
        <v>16</v>
      </c>
      <c r="U255" s="2" t="s">
        <v>29</v>
      </c>
      <c r="V255" s="4" t="s">
        <v>9</v>
      </c>
    </row>
    <row r="256" spans="2:22" x14ac:dyDescent="0.3">
      <c r="B256" s="5" t="s">
        <v>492</v>
      </c>
      <c r="C256" s="7" t="s">
        <v>492</v>
      </c>
      <c r="D256" s="5" t="s">
        <v>168</v>
      </c>
      <c r="E256" s="7" t="s">
        <v>630</v>
      </c>
      <c r="F256" s="6" t="s">
        <v>24</v>
      </c>
      <c r="G256" s="6" t="s">
        <v>24</v>
      </c>
      <c r="H256" s="7">
        <v>1981</v>
      </c>
      <c r="I256" s="7">
        <v>1981</v>
      </c>
      <c r="J256" s="7">
        <v>8198</v>
      </c>
      <c r="K256" s="7">
        <v>498.76</v>
      </c>
      <c r="L256" s="7">
        <v>22.2</v>
      </c>
      <c r="M256" s="7">
        <v>6</v>
      </c>
      <c r="N256" s="7">
        <v>5</v>
      </c>
      <c r="O256" s="7">
        <v>6</v>
      </c>
      <c r="P256" s="7">
        <v>5</v>
      </c>
      <c r="Q256" s="6" t="s">
        <v>60</v>
      </c>
      <c r="R256" s="6" t="s">
        <v>66</v>
      </c>
      <c r="S256" s="6" t="s">
        <v>67</v>
      </c>
      <c r="T256" s="6" t="s">
        <v>200</v>
      </c>
      <c r="U256" s="6" t="s">
        <v>17</v>
      </c>
      <c r="V256" s="8" t="s">
        <v>36</v>
      </c>
    </row>
    <row r="257" spans="2:22" x14ac:dyDescent="0.3">
      <c r="B257" s="1" t="s">
        <v>493</v>
      </c>
      <c r="C257" s="3" t="s">
        <v>588</v>
      </c>
      <c r="D257" s="1" t="s">
        <v>288</v>
      </c>
      <c r="E257" s="3" t="s">
        <v>680</v>
      </c>
      <c r="F257" s="2" t="s">
        <v>3</v>
      </c>
      <c r="G257" s="2" t="s">
        <v>3</v>
      </c>
      <c r="H257" s="3">
        <v>1990</v>
      </c>
      <c r="I257" s="3">
        <v>1990</v>
      </c>
      <c r="J257" s="3">
        <v>9196</v>
      </c>
      <c r="K257" s="3">
        <v>98.76</v>
      </c>
      <c r="L257" s="3">
        <v>5.66</v>
      </c>
      <c r="M257" s="3">
        <v>4</v>
      </c>
      <c r="N257" s="3">
        <v>5</v>
      </c>
      <c r="O257" s="3">
        <v>4</v>
      </c>
      <c r="P257" s="3">
        <v>7</v>
      </c>
      <c r="Q257" s="2" t="s">
        <v>161</v>
      </c>
      <c r="R257" s="2" t="s">
        <v>115</v>
      </c>
      <c r="S257" s="2" t="s">
        <v>173</v>
      </c>
      <c r="T257" s="2" t="s">
        <v>7</v>
      </c>
      <c r="U257" s="2" t="s">
        <v>29</v>
      </c>
      <c r="V257" s="4" t="s">
        <v>96</v>
      </c>
    </row>
    <row r="258" spans="2:22" x14ac:dyDescent="0.3">
      <c r="B258" s="5" t="s">
        <v>494</v>
      </c>
      <c r="C258" s="7" t="s">
        <v>494</v>
      </c>
      <c r="D258" s="5" t="s">
        <v>239</v>
      </c>
      <c r="E258" s="7" t="s">
        <v>659</v>
      </c>
      <c r="F258" s="6" t="s">
        <v>3</v>
      </c>
      <c r="G258" s="6" t="s">
        <v>3</v>
      </c>
      <c r="H258" s="7">
        <v>2003</v>
      </c>
      <c r="I258" s="7">
        <v>2003</v>
      </c>
      <c r="J258" s="7">
        <v>4319</v>
      </c>
      <c r="K258" s="7">
        <v>296.93</v>
      </c>
      <c r="L258" s="7">
        <v>21.02</v>
      </c>
      <c r="M258" s="7">
        <v>7</v>
      </c>
      <c r="N258" s="7">
        <v>2</v>
      </c>
      <c r="O258" s="7">
        <v>6</v>
      </c>
      <c r="P258" s="7">
        <v>2</v>
      </c>
      <c r="Q258" s="6" t="s">
        <v>45</v>
      </c>
      <c r="R258" s="6" t="s">
        <v>77</v>
      </c>
      <c r="S258" s="6" t="s">
        <v>40</v>
      </c>
      <c r="T258" s="6" t="s">
        <v>41</v>
      </c>
      <c r="U258" s="6" t="s">
        <v>8</v>
      </c>
      <c r="V258" s="8" t="s">
        <v>18</v>
      </c>
    </row>
    <row r="259" spans="2:22" x14ac:dyDescent="0.3">
      <c r="B259" s="1" t="s">
        <v>495</v>
      </c>
      <c r="C259" s="3" t="s">
        <v>495</v>
      </c>
      <c r="D259" s="1" t="s">
        <v>496</v>
      </c>
      <c r="E259" s="3" t="s">
        <v>753</v>
      </c>
      <c r="F259" s="2" t="s">
        <v>3</v>
      </c>
      <c r="G259" s="2" t="s">
        <v>3</v>
      </c>
      <c r="H259" s="3">
        <v>2006</v>
      </c>
      <c r="I259" s="3">
        <v>2006</v>
      </c>
      <c r="J259" s="3">
        <v>935</v>
      </c>
      <c r="K259" s="3">
        <v>436.72</v>
      </c>
      <c r="L259" s="3">
        <v>18.37</v>
      </c>
      <c r="M259" s="3">
        <v>5</v>
      </c>
      <c r="N259" s="3">
        <v>3</v>
      </c>
      <c r="O259" s="3">
        <v>4</v>
      </c>
      <c r="P259" s="3">
        <v>4</v>
      </c>
      <c r="Q259" s="2" t="s">
        <v>39</v>
      </c>
      <c r="R259" s="2" t="s">
        <v>5</v>
      </c>
      <c r="S259" s="2" t="s">
        <v>116</v>
      </c>
      <c r="T259" s="2" t="s">
        <v>78</v>
      </c>
      <c r="U259" s="2" t="s">
        <v>29</v>
      </c>
      <c r="V259" s="4" t="s">
        <v>36</v>
      </c>
    </row>
    <row r="260" spans="2:22" x14ac:dyDescent="0.3">
      <c r="B260" s="5" t="s">
        <v>497</v>
      </c>
      <c r="C260" s="7" t="s">
        <v>497</v>
      </c>
      <c r="D260" s="5" t="s">
        <v>498</v>
      </c>
      <c r="E260" s="7" t="s">
        <v>754</v>
      </c>
      <c r="F260" s="6" t="s">
        <v>24</v>
      </c>
      <c r="G260" s="6" t="s">
        <v>24</v>
      </c>
      <c r="H260" s="7">
        <v>2000</v>
      </c>
      <c r="I260" s="7">
        <v>2000</v>
      </c>
      <c r="J260" s="7">
        <v>1000</v>
      </c>
      <c r="K260" s="7">
        <v>12.31</v>
      </c>
      <c r="L260" s="7">
        <v>14</v>
      </c>
      <c r="M260" s="7">
        <v>6</v>
      </c>
      <c r="N260" s="7">
        <v>3</v>
      </c>
      <c r="O260" s="7">
        <v>4</v>
      </c>
      <c r="P260" s="7">
        <v>6</v>
      </c>
      <c r="Q260" s="6" t="s">
        <v>141</v>
      </c>
      <c r="R260" s="6" t="s">
        <v>131</v>
      </c>
      <c r="S260" s="6" t="s">
        <v>93</v>
      </c>
      <c r="T260" s="6" t="s">
        <v>200</v>
      </c>
      <c r="U260" s="6" t="s">
        <v>17</v>
      </c>
      <c r="V260" s="8" t="s">
        <v>36</v>
      </c>
    </row>
    <row r="261" spans="2:22" x14ac:dyDescent="0.3">
      <c r="B261" s="1" t="s">
        <v>499</v>
      </c>
      <c r="C261" s="3" t="s">
        <v>499</v>
      </c>
      <c r="D261" s="1" t="s">
        <v>47</v>
      </c>
      <c r="E261" s="3" t="s">
        <v>598</v>
      </c>
      <c r="F261" s="2" t="s">
        <v>81</v>
      </c>
      <c r="G261" s="2" t="s">
        <v>81</v>
      </c>
      <c r="H261" s="3">
        <v>2004</v>
      </c>
      <c r="I261" s="3">
        <v>2004</v>
      </c>
      <c r="J261" s="3">
        <v>126</v>
      </c>
      <c r="K261" s="3">
        <v>28.49</v>
      </c>
      <c r="L261" s="3">
        <v>1.79</v>
      </c>
      <c r="M261" s="3">
        <v>5</v>
      </c>
      <c r="N261" s="3">
        <v>7</v>
      </c>
      <c r="O261" s="3">
        <v>5</v>
      </c>
      <c r="P261" s="3">
        <v>2</v>
      </c>
      <c r="Q261" s="2" t="s">
        <v>103</v>
      </c>
      <c r="R261" s="2" t="s">
        <v>104</v>
      </c>
      <c r="S261" s="2" t="s">
        <v>82</v>
      </c>
      <c r="T261" s="2" t="s">
        <v>84</v>
      </c>
      <c r="U261" s="2" t="s">
        <v>29</v>
      </c>
      <c r="V261" s="4" t="s">
        <v>36</v>
      </c>
    </row>
    <row r="262" spans="2:22" x14ac:dyDescent="0.3">
      <c r="B262" s="5" t="s">
        <v>500</v>
      </c>
      <c r="C262" s="7" t="s">
        <v>500</v>
      </c>
      <c r="D262" s="5" t="s">
        <v>187</v>
      </c>
      <c r="E262" s="7" t="s">
        <v>639</v>
      </c>
      <c r="F262" s="6" t="s">
        <v>24</v>
      </c>
      <c r="G262" s="6" t="s">
        <v>24</v>
      </c>
      <c r="H262" s="7">
        <v>1986</v>
      </c>
      <c r="I262" s="7">
        <v>1986</v>
      </c>
      <c r="J262" s="7">
        <v>6334</v>
      </c>
      <c r="K262" s="7">
        <v>256.63</v>
      </c>
      <c r="L262" s="7">
        <v>21.64</v>
      </c>
      <c r="M262" s="7">
        <v>6</v>
      </c>
      <c r="N262" s="7">
        <v>3</v>
      </c>
      <c r="O262" s="7">
        <v>3</v>
      </c>
      <c r="P262" s="7">
        <v>2</v>
      </c>
      <c r="Q262" s="6" t="s">
        <v>305</v>
      </c>
      <c r="R262" s="6" t="s">
        <v>26</v>
      </c>
      <c r="S262" s="6" t="s">
        <v>27</v>
      </c>
      <c r="T262" s="6" t="s">
        <v>28</v>
      </c>
      <c r="U262" s="6" t="s">
        <v>17</v>
      </c>
      <c r="V262" s="8" t="s">
        <v>18</v>
      </c>
    </row>
    <row r="263" spans="2:22" x14ac:dyDescent="0.3">
      <c r="B263" s="1" t="s">
        <v>501</v>
      </c>
      <c r="C263" s="3" t="s">
        <v>501</v>
      </c>
      <c r="D263" s="1" t="s">
        <v>502</v>
      </c>
      <c r="E263" s="3" t="s">
        <v>755</v>
      </c>
      <c r="F263" s="2" t="s">
        <v>81</v>
      </c>
      <c r="G263" s="2" t="s">
        <v>81</v>
      </c>
      <c r="H263" s="3">
        <v>2002</v>
      </c>
      <c r="I263" s="3">
        <v>2002</v>
      </c>
      <c r="J263" s="3">
        <v>3137</v>
      </c>
      <c r="K263" s="3">
        <v>90.79</v>
      </c>
      <c r="L263" s="3">
        <v>6</v>
      </c>
      <c r="M263" s="3">
        <v>7</v>
      </c>
      <c r="N263" s="3">
        <v>2</v>
      </c>
      <c r="O263" s="3">
        <v>4</v>
      </c>
      <c r="P263" s="3">
        <v>3</v>
      </c>
      <c r="Q263" s="2" t="s">
        <v>144</v>
      </c>
      <c r="R263" s="2" t="s">
        <v>104</v>
      </c>
      <c r="S263" s="2" t="s">
        <v>82</v>
      </c>
      <c r="T263" s="2" t="s">
        <v>111</v>
      </c>
      <c r="U263" s="2" t="s">
        <v>8</v>
      </c>
      <c r="V263" s="4" t="s">
        <v>18</v>
      </c>
    </row>
    <row r="264" spans="2:22" x14ac:dyDescent="0.3">
      <c r="B264" s="5" t="s">
        <v>503</v>
      </c>
      <c r="C264" s="7" t="s">
        <v>503</v>
      </c>
      <c r="D264" s="5" t="s">
        <v>504</v>
      </c>
      <c r="E264" s="7" t="s">
        <v>756</v>
      </c>
      <c r="F264" s="6" t="s">
        <v>3</v>
      </c>
      <c r="G264" s="6" t="s">
        <v>3</v>
      </c>
      <c r="H264" s="7">
        <v>2014</v>
      </c>
      <c r="I264" s="7">
        <v>2014</v>
      </c>
      <c r="J264" s="7">
        <v>846</v>
      </c>
      <c r="K264" s="7">
        <v>301.02</v>
      </c>
      <c r="L264" s="7">
        <v>6.41</v>
      </c>
      <c r="M264" s="7">
        <v>4</v>
      </c>
      <c r="N264" s="7">
        <v>7</v>
      </c>
      <c r="O264" s="7">
        <v>3</v>
      </c>
      <c r="P264" s="7">
        <v>7</v>
      </c>
      <c r="Q264" s="6" t="s">
        <v>4</v>
      </c>
      <c r="R264" s="6" t="s">
        <v>77</v>
      </c>
      <c r="S264" s="6" t="s">
        <v>6</v>
      </c>
      <c r="T264" s="6" t="s">
        <v>21</v>
      </c>
      <c r="U264" s="6" t="s">
        <v>17</v>
      </c>
      <c r="V264" s="8" t="s">
        <v>96</v>
      </c>
    </row>
    <row r="265" spans="2:22" x14ac:dyDescent="0.3">
      <c r="B265" s="1" t="s">
        <v>505</v>
      </c>
      <c r="C265" s="3" t="s">
        <v>505</v>
      </c>
      <c r="D265" s="1" t="s">
        <v>143</v>
      </c>
      <c r="E265" s="3" t="s">
        <v>622</v>
      </c>
      <c r="F265" s="2" t="s">
        <v>81</v>
      </c>
      <c r="G265" s="2" t="s">
        <v>81</v>
      </c>
      <c r="H265" s="3">
        <v>1989</v>
      </c>
      <c r="I265" s="3">
        <v>1989</v>
      </c>
      <c r="J265" s="3">
        <v>3416</v>
      </c>
      <c r="K265" s="3">
        <v>350.64</v>
      </c>
      <c r="L265" s="3">
        <v>10.35</v>
      </c>
      <c r="M265" s="3">
        <v>9</v>
      </c>
      <c r="N265" s="3">
        <v>2</v>
      </c>
      <c r="O265" s="3">
        <v>5</v>
      </c>
      <c r="P265" s="3">
        <v>5</v>
      </c>
      <c r="Q265" s="2" t="s">
        <v>87</v>
      </c>
      <c r="R265" s="2" t="s">
        <v>139</v>
      </c>
      <c r="S265" s="2" t="s">
        <v>209</v>
      </c>
      <c r="T265" s="2" t="s">
        <v>90</v>
      </c>
      <c r="U265" s="2" t="s">
        <v>8</v>
      </c>
      <c r="V265" s="4" t="s">
        <v>18</v>
      </c>
    </row>
    <row r="266" spans="2:22" x14ac:dyDescent="0.3">
      <c r="B266" s="5" t="s">
        <v>506</v>
      </c>
      <c r="C266" s="7" t="s">
        <v>506</v>
      </c>
      <c r="D266" s="5" t="s">
        <v>211</v>
      </c>
      <c r="E266" s="7" t="s">
        <v>648</v>
      </c>
      <c r="F266" s="6" t="s">
        <v>12</v>
      </c>
      <c r="G266" s="6" t="s">
        <v>12</v>
      </c>
      <c r="H266" s="7">
        <v>1986</v>
      </c>
      <c r="I266" s="7">
        <v>1986</v>
      </c>
      <c r="J266" s="7">
        <v>8204</v>
      </c>
      <c r="K266" s="7">
        <v>107.34</v>
      </c>
      <c r="L266" s="7">
        <v>11.44</v>
      </c>
      <c r="M266" s="7">
        <v>5</v>
      </c>
      <c r="N266" s="7">
        <v>4</v>
      </c>
      <c r="O266" s="7">
        <v>7</v>
      </c>
      <c r="P266" s="7">
        <v>3</v>
      </c>
      <c r="Q266" s="6" t="s">
        <v>32</v>
      </c>
      <c r="R266" s="6" t="s">
        <v>73</v>
      </c>
      <c r="S266" s="6" t="s">
        <v>34</v>
      </c>
      <c r="T266" s="6" t="s">
        <v>16</v>
      </c>
      <c r="U266" s="6" t="s">
        <v>8</v>
      </c>
      <c r="V266" s="8" t="s">
        <v>18</v>
      </c>
    </row>
    <row r="267" spans="2:22" x14ac:dyDescent="0.3">
      <c r="B267" s="1" t="s">
        <v>507</v>
      </c>
      <c r="C267" s="3" t="s">
        <v>507</v>
      </c>
      <c r="D267" s="1" t="s">
        <v>220</v>
      </c>
      <c r="E267" s="3" t="s">
        <v>651</v>
      </c>
      <c r="F267" s="2" t="s">
        <v>3</v>
      </c>
      <c r="G267" s="2" t="s">
        <v>3</v>
      </c>
      <c r="H267" s="3">
        <v>1995</v>
      </c>
      <c r="I267" s="3">
        <v>1995</v>
      </c>
      <c r="J267" s="3">
        <v>94</v>
      </c>
      <c r="K267" s="3">
        <v>16.25</v>
      </c>
      <c r="L267" s="3">
        <v>22.14</v>
      </c>
      <c r="M267" s="3">
        <v>4</v>
      </c>
      <c r="N267" s="3">
        <v>2</v>
      </c>
      <c r="O267" s="3">
        <v>7</v>
      </c>
      <c r="P267" s="3">
        <v>7</v>
      </c>
      <c r="Q267" s="2" t="s">
        <v>39</v>
      </c>
      <c r="R267" s="2" t="s">
        <v>115</v>
      </c>
      <c r="S267" s="2" t="s">
        <v>6</v>
      </c>
      <c r="T267" s="2" t="s">
        <v>7</v>
      </c>
      <c r="U267" s="2" t="s">
        <v>8</v>
      </c>
      <c r="V267" s="4" t="s">
        <v>36</v>
      </c>
    </row>
    <row r="268" spans="2:22" x14ac:dyDescent="0.3">
      <c r="B268" s="5" t="s">
        <v>508</v>
      </c>
      <c r="C268" s="7" t="s">
        <v>508</v>
      </c>
      <c r="D268" s="5" t="s">
        <v>332</v>
      </c>
      <c r="E268" s="7" t="s">
        <v>698</v>
      </c>
      <c r="F268" s="6" t="s">
        <v>3</v>
      </c>
      <c r="G268" s="6" t="s">
        <v>3</v>
      </c>
      <c r="H268" s="7">
        <v>1996</v>
      </c>
      <c r="I268" s="7">
        <v>1996</v>
      </c>
      <c r="J268" s="7">
        <v>7656</v>
      </c>
      <c r="K268" s="7">
        <v>34.54</v>
      </c>
      <c r="L268" s="7">
        <v>-4.71</v>
      </c>
      <c r="M268" s="7">
        <v>5</v>
      </c>
      <c r="N268" s="7">
        <v>2</v>
      </c>
      <c r="O268" s="7">
        <v>5</v>
      </c>
      <c r="P268" s="7">
        <v>4</v>
      </c>
      <c r="Q268" s="6" t="s">
        <v>161</v>
      </c>
      <c r="R268" s="6" t="s">
        <v>5</v>
      </c>
      <c r="S268" s="6" t="s">
        <v>6</v>
      </c>
      <c r="T268" s="6" t="s">
        <v>7</v>
      </c>
      <c r="U268" s="6" t="s">
        <v>8</v>
      </c>
      <c r="V268" s="8" t="s">
        <v>18</v>
      </c>
    </row>
    <row r="269" spans="2:22" x14ac:dyDescent="0.3">
      <c r="B269" s="1" t="s">
        <v>509</v>
      </c>
      <c r="C269" s="3" t="s">
        <v>509</v>
      </c>
      <c r="D269" s="1" t="s">
        <v>369</v>
      </c>
      <c r="E269" s="3" t="s">
        <v>712</v>
      </c>
      <c r="F269" s="2" t="s">
        <v>3</v>
      </c>
      <c r="G269" s="2" t="s">
        <v>3</v>
      </c>
      <c r="H269" s="3">
        <v>2002</v>
      </c>
      <c r="I269" s="3">
        <v>2002</v>
      </c>
      <c r="J269" s="3">
        <v>7221</v>
      </c>
      <c r="K269" s="3">
        <v>477.99</v>
      </c>
      <c r="L269" s="3">
        <v>23.87</v>
      </c>
      <c r="M269" s="3">
        <v>6</v>
      </c>
      <c r="N269" s="3">
        <v>7</v>
      </c>
      <c r="O269" s="3">
        <v>3</v>
      </c>
      <c r="P269" s="3">
        <v>4</v>
      </c>
      <c r="Q269" s="2" t="s">
        <v>161</v>
      </c>
      <c r="R269" s="2" t="s">
        <v>115</v>
      </c>
      <c r="S269" s="2" t="s">
        <v>6</v>
      </c>
      <c r="T269" s="2" t="s">
        <v>21</v>
      </c>
      <c r="U269" s="2" t="s">
        <v>17</v>
      </c>
      <c r="V269" s="4" t="s">
        <v>9</v>
      </c>
    </row>
    <row r="270" spans="2:22" x14ac:dyDescent="0.3">
      <c r="B270" s="5" t="s">
        <v>510</v>
      </c>
      <c r="C270" s="7" t="s">
        <v>510</v>
      </c>
      <c r="D270" s="5" t="s">
        <v>511</v>
      </c>
      <c r="E270" s="7" t="s">
        <v>757</v>
      </c>
      <c r="F270" s="6" t="s">
        <v>81</v>
      </c>
      <c r="G270" s="6" t="s">
        <v>81</v>
      </c>
      <c r="H270" s="7">
        <v>2006</v>
      </c>
      <c r="I270" s="7">
        <v>2006</v>
      </c>
      <c r="J270" s="7">
        <v>2782</v>
      </c>
      <c r="K270" s="7">
        <v>65.400000000000006</v>
      </c>
      <c r="L270" s="7">
        <v>13.34</v>
      </c>
      <c r="M270" s="7">
        <v>9</v>
      </c>
      <c r="N270" s="7">
        <v>7</v>
      </c>
      <c r="O270" s="7">
        <v>3</v>
      </c>
      <c r="P270" s="7">
        <v>3</v>
      </c>
      <c r="Q270" s="6" t="s">
        <v>87</v>
      </c>
      <c r="R270" s="6" t="s">
        <v>88</v>
      </c>
      <c r="S270" s="6" t="s">
        <v>145</v>
      </c>
      <c r="T270" s="6" t="s">
        <v>90</v>
      </c>
      <c r="U270" s="6" t="s">
        <v>29</v>
      </c>
      <c r="V270" s="8" t="s">
        <v>36</v>
      </c>
    </row>
    <row r="271" spans="2:22" x14ac:dyDescent="0.3">
      <c r="B271" s="1" t="s">
        <v>512</v>
      </c>
      <c r="C271" s="3" t="s">
        <v>512</v>
      </c>
      <c r="D271" s="1" t="s">
        <v>11</v>
      </c>
      <c r="E271" s="3" t="s">
        <v>592</v>
      </c>
      <c r="F271" s="2" t="s">
        <v>12</v>
      </c>
      <c r="G271" s="2" t="s">
        <v>12</v>
      </c>
      <c r="H271" s="3">
        <v>1988</v>
      </c>
      <c r="I271" s="3">
        <v>1988</v>
      </c>
      <c r="J271" s="3">
        <v>7964</v>
      </c>
      <c r="K271" s="3">
        <v>461</v>
      </c>
      <c r="L271" s="3">
        <v>24.34</v>
      </c>
      <c r="M271" s="3">
        <v>4</v>
      </c>
      <c r="N271" s="3">
        <v>5</v>
      </c>
      <c r="O271" s="3">
        <v>6</v>
      </c>
      <c r="P271" s="3">
        <v>2</v>
      </c>
      <c r="Q271" s="2" t="s">
        <v>235</v>
      </c>
      <c r="R271" s="2" t="s">
        <v>14</v>
      </c>
      <c r="S271" s="2" t="s">
        <v>34</v>
      </c>
      <c r="T271" s="2" t="s">
        <v>35</v>
      </c>
      <c r="U271" s="2" t="s">
        <v>29</v>
      </c>
      <c r="V271" s="4" t="s">
        <v>36</v>
      </c>
    </row>
    <row r="272" spans="2:22" x14ac:dyDescent="0.3">
      <c r="B272" s="5" t="s">
        <v>513</v>
      </c>
      <c r="C272" s="7" t="s">
        <v>513</v>
      </c>
      <c r="D272" s="5" t="s">
        <v>514</v>
      </c>
      <c r="E272" s="7" t="s">
        <v>758</v>
      </c>
      <c r="F272" s="6" t="s">
        <v>48</v>
      </c>
      <c r="G272" s="6" t="s">
        <v>48</v>
      </c>
      <c r="H272" s="7">
        <v>2019</v>
      </c>
      <c r="I272" s="7">
        <v>2019</v>
      </c>
      <c r="J272" s="7">
        <v>1610</v>
      </c>
      <c r="K272" s="7">
        <v>222.1</v>
      </c>
      <c r="L272" s="7">
        <v>10.17</v>
      </c>
      <c r="M272" s="7">
        <v>9</v>
      </c>
      <c r="N272" s="7">
        <v>3</v>
      </c>
      <c r="O272" s="7">
        <v>6</v>
      </c>
      <c r="P272" s="7">
        <v>4</v>
      </c>
      <c r="Q272" s="6" t="s">
        <v>121</v>
      </c>
      <c r="R272" s="6" t="s">
        <v>14</v>
      </c>
      <c r="S272" s="6" t="s">
        <v>61</v>
      </c>
      <c r="T272" s="6" t="s">
        <v>106</v>
      </c>
      <c r="U272" s="6" t="s">
        <v>29</v>
      </c>
      <c r="V272" s="8" t="s">
        <v>18</v>
      </c>
    </row>
    <row r="273" spans="2:22" x14ac:dyDescent="0.3">
      <c r="B273" s="1" t="s">
        <v>515</v>
      </c>
      <c r="C273" s="3" t="s">
        <v>515</v>
      </c>
      <c r="D273" s="1" t="s">
        <v>279</v>
      </c>
      <c r="E273" s="3" t="s">
        <v>676</v>
      </c>
      <c r="F273" s="2" t="s">
        <v>24</v>
      </c>
      <c r="G273" s="2" t="s">
        <v>24</v>
      </c>
      <c r="H273" s="3">
        <v>1984</v>
      </c>
      <c r="I273" s="3">
        <v>1984</v>
      </c>
      <c r="J273" s="3">
        <v>8105</v>
      </c>
      <c r="K273" s="3">
        <v>167.11</v>
      </c>
      <c r="L273" s="3">
        <v>8.77</v>
      </c>
      <c r="M273" s="3">
        <v>6</v>
      </c>
      <c r="N273" s="3">
        <v>4</v>
      </c>
      <c r="O273" s="3">
        <v>3</v>
      </c>
      <c r="P273" s="3">
        <v>6</v>
      </c>
      <c r="Q273" s="2" t="s">
        <v>141</v>
      </c>
      <c r="R273" s="2" t="s">
        <v>131</v>
      </c>
      <c r="S273" s="2" t="s">
        <v>27</v>
      </c>
      <c r="T273" s="2" t="s">
        <v>200</v>
      </c>
      <c r="U273" s="2" t="s">
        <v>8</v>
      </c>
      <c r="V273" s="4" t="s">
        <v>9</v>
      </c>
    </row>
    <row r="274" spans="2:22" x14ac:dyDescent="0.3">
      <c r="B274" s="5" t="s">
        <v>515</v>
      </c>
      <c r="C274" s="7" t="s">
        <v>515</v>
      </c>
      <c r="D274" s="5" t="s">
        <v>279</v>
      </c>
      <c r="E274" s="7" t="s">
        <v>676</v>
      </c>
      <c r="F274" s="6" t="s">
        <v>24</v>
      </c>
      <c r="G274" s="6" t="s">
        <v>24</v>
      </c>
      <c r="H274" s="7">
        <v>1984</v>
      </c>
      <c r="I274" s="7">
        <v>1984</v>
      </c>
      <c r="J274" s="7">
        <v>8105</v>
      </c>
      <c r="K274" s="7">
        <v>167.11</v>
      </c>
      <c r="L274" s="7">
        <v>8.77</v>
      </c>
      <c r="M274" s="7">
        <v>6</v>
      </c>
      <c r="N274" s="7">
        <v>4</v>
      </c>
      <c r="O274" s="7">
        <v>3</v>
      </c>
      <c r="P274" s="7">
        <v>6</v>
      </c>
      <c r="Q274" s="6" t="s">
        <v>141</v>
      </c>
      <c r="R274" s="6" t="s">
        <v>131</v>
      </c>
      <c r="S274" s="6" t="s">
        <v>27</v>
      </c>
      <c r="T274" s="6" t="s">
        <v>200</v>
      </c>
      <c r="U274" s="6" t="s">
        <v>8</v>
      </c>
      <c r="V274" s="8" t="s">
        <v>9</v>
      </c>
    </row>
    <row r="275" spans="2:22" x14ac:dyDescent="0.3">
      <c r="B275" s="1" t="s">
        <v>516</v>
      </c>
      <c r="C275" s="3" t="s">
        <v>516</v>
      </c>
      <c r="D275" s="1" t="s">
        <v>332</v>
      </c>
      <c r="E275" s="3" t="s">
        <v>698</v>
      </c>
      <c r="F275" s="2" t="s">
        <v>12</v>
      </c>
      <c r="G275" s="2" t="s">
        <v>12</v>
      </c>
      <c r="H275" s="3">
        <v>2011</v>
      </c>
      <c r="I275" s="3">
        <v>2011</v>
      </c>
      <c r="J275" s="3">
        <v>7374</v>
      </c>
      <c r="K275" s="3">
        <v>164.87</v>
      </c>
      <c r="L275" s="3">
        <v>19.78</v>
      </c>
      <c r="M275" s="3">
        <v>7</v>
      </c>
      <c r="N275" s="3">
        <v>7</v>
      </c>
      <c r="O275" s="3">
        <v>8</v>
      </c>
      <c r="P275" s="3">
        <v>2</v>
      </c>
      <c r="Q275" s="2" t="s">
        <v>235</v>
      </c>
      <c r="R275" s="2" t="s">
        <v>73</v>
      </c>
      <c r="S275" s="2" t="s">
        <v>212</v>
      </c>
      <c r="T275" s="2" t="s">
        <v>35</v>
      </c>
      <c r="U275" s="2" t="s">
        <v>8</v>
      </c>
      <c r="V275" s="4" t="s">
        <v>18</v>
      </c>
    </row>
    <row r="276" spans="2:22" x14ac:dyDescent="0.3">
      <c r="B276" s="5" t="s">
        <v>517</v>
      </c>
      <c r="C276" s="7" t="s">
        <v>517</v>
      </c>
      <c r="D276" s="5" t="s">
        <v>258</v>
      </c>
      <c r="E276" s="7" t="s">
        <v>668</v>
      </c>
      <c r="F276" s="6" t="s">
        <v>48</v>
      </c>
      <c r="G276" s="6" t="s">
        <v>48</v>
      </c>
      <c r="H276" s="7">
        <v>1993</v>
      </c>
      <c r="I276" s="7">
        <v>1993</v>
      </c>
      <c r="J276" s="7">
        <v>7524</v>
      </c>
      <c r="K276" s="7">
        <v>475.67</v>
      </c>
      <c r="L276" s="7">
        <v>-2.08</v>
      </c>
      <c r="M276" s="7">
        <v>6</v>
      </c>
      <c r="N276" s="7">
        <v>2</v>
      </c>
      <c r="O276" s="7">
        <v>4</v>
      </c>
      <c r="P276" s="7">
        <v>5</v>
      </c>
      <c r="Q276" s="6" t="s">
        <v>124</v>
      </c>
      <c r="R276" s="6" t="s">
        <v>154</v>
      </c>
      <c r="S276" s="6" t="s">
        <v>51</v>
      </c>
      <c r="T276" s="6" t="s">
        <v>62</v>
      </c>
      <c r="U276" s="6" t="s">
        <v>8</v>
      </c>
      <c r="V276" s="8" t="s">
        <v>36</v>
      </c>
    </row>
    <row r="277" spans="2:22" x14ac:dyDescent="0.3">
      <c r="B277" s="1" t="s">
        <v>518</v>
      </c>
      <c r="C277" s="3" t="s">
        <v>518</v>
      </c>
      <c r="D277" s="1" t="s">
        <v>519</v>
      </c>
      <c r="E277" s="3" t="s">
        <v>759</v>
      </c>
      <c r="F277" s="2" t="s">
        <v>3</v>
      </c>
      <c r="G277" s="2" t="s">
        <v>3</v>
      </c>
      <c r="H277" s="3">
        <v>2002</v>
      </c>
      <c r="I277" s="3">
        <v>2002</v>
      </c>
      <c r="J277" s="3">
        <v>4833</v>
      </c>
      <c r="K277" s="3">
        <v>278.37</v>
      </c>
      <c r="L277" s="3">
        <v>2.63</v>
      </c>
      <c r="M277" s="3">
        <v>6</v>
      </c>
      <c r="N277" s="3">
        <v>7</v>
      </c>
      <c r="O277" s="3">
        <v>3</v>
      </c>
      <c r="P277" s="3">
        <v>2</v>
      </c>
      <c r="Q277" s="2" t="s">
        <v>103</v>
      </c>
      <c r="R277" s="2" t="s">
        <v>5</v>
      </c>
      <c r="S277" s="2" t="s">
        <v>116</v>
      </c>
      <c r="T277" s="2" t="s">
        <v>21</v>
      </c>
      <c r="U277" s="2" t="s">
        <v>8</v>
      </c>
      <c r="V277" s="4" t="s">
        <v>9</v>
      </c>
    </row>
    <row r="278" spans="2:22" x14ac:dyDescent="0.3">
      <c r="B278" s="5" t="s">
        <v>520</v>
      </c>
      <c r="C278" s="7" t="s">
        <v>520</v>
      </c>
      <c r="D278" s="5" t="s">
        <v>260</v>
      </c>
      <c r="E278" s="7" t="s">
        <v>669</v>
      </c>
      <c r="F278" s="6" t="s">
        <v>12</v>
      </c>
      <c r="G278" s="6" t="s">
        <v>12</v>
      </c>
      <c r="H278" s="7">
        <v>2005</v>
      </c>
      <c r="I278" s="7">
        <v>2005</v>
      </c>
      <c r="J278" s="7">
        <v>3582</v>
      </c>
      <c r="K278" s="7">
        <v>233.95</v>
      </c>
      <c r="L278" s="7">
        <v>14.75</v>
      </c>
      <c r="M278" s="7">
        <v>5</v>
      </c>
      <c r="N278" s="7">
        <v>7</v>
      </c>
      <c r="O278" s="7">
        <v>5</v>
      </c>
      <c r="P278" s="7">
        <v>2</v>
      </c>
      <c r="Q278" s="6" t="s">
        <v>13</v>
      </c>
      <c r="R278" s="6" t="s">
        <v>152</v>
      </c>
      <c r="S278" s="6" t="s">
        <v>15</v>
      </c>
      <c r="T278" s="6" t="s">
        <v>74</v>
      </c>
      <c r="U278" s="6" t="s">
        <v>17</v>
      </c>
      <c r="V278" s="8" t="s">
        <v>36</v>
      </c>
    </row>
    <row r="279" spans="2:22" x14ac:dyDescent="0.3">
      <c r="B279" s="1" t="s">
        <v>521</v>
      </c>
      <c r="C279" s="3" t="s">
        <v>521</v>
      </c>
      <c r="D279" s="1" t="s">
        <v>120</v>
      </c>
      <c r="E279" s="3" t="s">
        <v>614</v>
      </c>
      <c r="F279" s="2" t="s">
        <v>81</v>
      </c>
      <c r="G279" s="2" t="s">
        <v>81</v>
      </c>
      <c r="H279" s="3">
        <v>1980</v>
      </c>
      <c r="I279" s="3">
        <v>1980</v>
      </c>
      <c r="J279" s="3">
        <v>8739</v>
      </c>
      <c r="K279" s="3">
        <v>370.74</v>
      </c>
      <c r="L279" s="3">
        <v>6.62</v>
      </c>
      <c r="M279" s="3">
        <v>8</v>
      </c>
      <c r="N279" s="3">
        <v>5</v>
      </c>
      <c r="O279" s="3">
        <v>7</v>
      </c>
      <c r="P279" s="3">
        <v>5</v>
      </c>
      <c r="Q279" s="2" t="s">
        <v>82</v>
      </c>
      <c r="R279" s="2" t="s">
        <v>104</v>
      </c>
      <c r="S279" s="2" t="s">
        <v>209</v>
      </c>
      <c r="T279" s="2" t="s">
        <v>111</v>
      </c>
      <c r="U279" s="2" t="s">
        <v>8</v>
      </c>
      <c r="V279" s="4" t="s">
        <v>18</v>
      </c>
    </row>
    <row r="280" spans="2:22" x14ac:dyDescent="0.3">
      <c r="B280" s="5" t="s">
        <v>522</v>
      </c>
      <c r="C280" s="7" t="s">
        <v>522</v>
      </c>
      <c r="D280" s="5" t="s">
        <v>202</v>
      </c>
      <c r="E280" s="7" t="s">
        <v>644</v>
      </c>
      <c r="F280" s="6" t="s">
        <v>81</v>
      </c>
      <c r="G280" s="6" t="s">
        <v>81</v>
      </c>
      <c r="H280" s="7">
        <v>2006</v>
      </c>
      <c r="I280" s="7">
        <v>2006</v>
      </c>
      <c r="J280" s="7">
        <v>4117</v>
      </c>
      <c r="K280" s="7">
        <v>144.06</v>
      </c>
      <c r="L280" s="7">
        <v>1.03</v>
      </c>
      <c r="M280" s="7">
        <v>6</v>
      </c>
      <c r="N280" s="7">
        <v>4</v>
      </c>
      <c r="O280" s="7">
        <v>6</v>
      </c>
      <c r="P280" s="7">
        <v>3</v>
      </c>
      <c r="Q280" s="6" t="s">
        <v>144</v>
      </c>
      <c r="R280" s="6" t="s">
        <v>88</v>
      </c>
      <c r="S280" s="6" t="s">
        <v>89</v>
      </c>
      <c r="T280" s="6" t="s">
        <v>166</v>
      </c>
      <c r="U280" s="6" t="s">
        <v>29</v>
      </c>
      <c r="V280" s="8" t="s">
        <v>18</v>
      </c>
    </row>
    <row r="281" spans="2:22" x14ac:dyDescent="0.3">
      <c r="B281" s="1" t="s">
        <v>523</v>
      </c>
      <c r="C281" s="3" t="s">
        <v>523</v>
      </c>
      <c r="D281" s="1" t="s">
        <v>455</v>
      </c>
      <c r="E281" s="3" t="s">
        <v>742</v>
      </c>
      <c r="F281" s="2" t="s">
        <v>24</v>
      </c>
      <c r="G281" s="2" t="s">
        <v>24</v>
      </c>
      <c r="H281" s="3">
        <v>1991</v>
      </c>
      <c r="I281" s="3">
        <v>1991</v>
      </c>
      <c r="J281" s="3">
        <v>8305</v>
      </c>
      <c r="K281" s="3">
        <v>275.82</v>
      </c>
      <c r="L281" s="3">
        <v>19.25</v>
      </c>
      <c r="M281" s="3">
        <v>9</v>
      </c>
      <c r="N281" s="3">
        <v>4</v>
      </c>
      <c r="O281" s="3">
        <v>8</v>
      </c>
      <c r="P281" s="3">
        <v>2</v>
      </c>
      <c r="Q281" s="2" t="s">
        <v>305</v>
      </c>
      <c r="R281" s="2" t="s">
        <v>131</v>
      </c>
      <c r="S281" s="2" t="s">
        <v>27</v>
      </c>
      <c r="T281" s="2" t="s">
        <v>28</v>
      </c>
      <c r="U281" s="2" t="s">
        <v>17</v>
      </c>
      <c r="V281" s="4" t="s">
        <v>18</v>
      </c>
    </row>
    <row r="282" spans="2:22" x14ac:dyDescent="0.3">
      <c r="B282" s="5" t="s">
        <v>524</v>
      </c>
      <c r="C282" s="7" t="s">
        <v>524</v>
      </c>
      <c r="D282" s="5" t="s">
        <v>525</v>
      </c>
      <c r="E282" s="7" t="s">
        <v>760</v>
      </c>
      <c r="F282" s="6" t="s">
        <v>12</v>
      </c>
      <c r="G282" s="6" t="s">
        <v>12</v>
      </c>
      <c r="H282" s="7">
        <v>2004</v>
      </c>
      <c r="I282" s="7">
        <v>2004</v>
      </c>
      <c r="J282" s="7">
        <v>2431</v>
      </c>
      <c r="K282" s="7">
        <v>36</v>
      </c>
      <c r="L282" s="7">
        <v>1.1200000000000001</v>
      </c>
      <c r="M282" s="7">
        <v>4</v>
      </c>
      <c r="N282" s="7">
        <v>3</v>
      </c>
      <c r="O282" s="7">
        <v>5</v>
      </c>
      <c r="P282" s="7">
        <v>3</v>
      </c>
      <c r="Q282" s="6" t="s">
        <v>32</v>
      </c>
      <c r="R282" s="6" t="s">
        <v>14</v>
      </c>
      <c r="S282" s="6" t="s">
        <v>56</v>
      </c>
      <c r="T282" s="6" t="s">
        <v>35</v>
      </c>
      <c r="U282" s="6" t="s">
        <v>42</v>
      </c>
      <c r="V282" s="8" t="s">
        <v>36</v>
      </c>
    </row>
    <row r="283" spans="2:22" x14ac:dyDescent="0.3">
      <c r="B283" s="1" t="s">
        <v>526</v>
      </c>
      <c r="C283" s="3" t="s">
        <v>526</v>
      </c>
      <c r="D283" s="1" t="s">
        <v>486</v>
      </c>
      <c r="E283" s="3" t="s">
        <v>751</v>
      </c>
      <c r="F283" s="2" t="s">
        <v>3</v>
      </c>
      <c r="G283" s="2" t="s">
        <v>3</v>
      </c>
      <c r="H283" s="3">
        <v>2008</v>
      </c>
      <c r="I283" s="3">
        <v>2008</v>
      </c>
      <c r="J283" s="3">
        <v>1729</v>
      </c>
      <c r="K283" s="3">
        <v>311.89</v>
      </c>
      <c r="L283" s="3">
        <v>22.79</v>
      </c>
      <c r="M283" s="3">
        <v>9</v>
      </c>
      <c r="N283" s="3">
        <v>7</v>
      </c>
      <c r="O283" s="3">
        <v>7</v>
      </c>
      <c r="P283" s="3">
        <v>3</v>
      </c>
      <c r="Q283" s="2" t="s">
        <v>45</v>
      </c>
      <c r="R283" s="2" t="s">
        <v>5</v>
      </c>
      <c r="S283" s="2" t="s">
        <v>116</v>
      </c>
      <c r="T283" s="2" t="s">
        <v>78</v>
      </c>
      <c r="U283" s="2" t="s">
        <v>8</v>
      </c>
      <c r="V283" s="4" t="s">
        <v>18</v>
      </c>
    </row>
    <row r="284" spans="2:22" x14ac:dyDescent="0.3">
      <c r="B284" s="5" t="s">
        <v>527</v>
      </c>
      <c r="C284" s="7" t="s">
        <v>527</v>
      </c>
      <c r="D284" s="5" t="s">
        <v>266</v>
      </c>
      <c r="E284" s="7" t="s">
        <v>671</v>
      </c>
      <c r="F284" s="6" t="s">
        <v>3</v>
      </c>
      <c r="G284" s="6" t="s">
        <v>3</v>
      </c>
      <c r="H284" s="7">
        <v>2015</v>
      </c>
      <c r="I284" s="7">
        <v>2015</v>
      </c>
      <c r="J284" s="7">
        <v>931</v>
      </c>
      <c r="K284" s="7">
        <v>16.350000000000001</v>
      </c>
      <c r="L284" s="7">
        <v>8.4600000000000009</v>
      </c>
      <c r="M284" s="7">
        <v>6</v>
      </c>
      <c r="N284" s="7">
        <v>3</v>
      </c>
      <c r="O284" s="7">
        <v>7</v>
      </c>
      <c r="P284" s="7">
        <v>5</v>
      </c>
      <c r="Q284" s="6" t="s">
        <v>103</v>
      </c>
      <c r="R284" s="6" t="s">
        <v>157</v>
      </c>
      <c r="S284" s="6" t="s">
        <v>116</v>
      </c>
      <c r="T284" s="6" t="s">
        <v>41</v>
      </c>
      <c r="U284" s="6" t="s">
        <v>42</v>
      </c>
      <c r="V284" s="8" t="s">
        <v>18</v>
      </c>
    </row>
    <row r="285" spans="2:22" x14ac:dyDescent="0.3">
      <c r="B285" s="1" t="s">
        <v>528</v>
      </c>
      <c r="C285" s="3" t="s">
        <v>528</v>
      </c>
      <c r="D285" s="1" t="s">
        <v>529</v>
      </c>
      <c r="E285" s="3" t="s">
        <v>761</v>
      </c>
      <c r="F285" s="2" t="s">
        <v>24</v>
      </c>
      <c r="G285" s="2" t="s">
        <v>24</v>
      </c>
      <c r="H285" s="3">
        <v>2012</v>
      </c>
      <c r="I285" s="3">
        <v>2012</v>
      </c>
      <c r="J285" s="3">
        <v>2005</v>
      </c>
      <c r="K285" s="3">
        <v>194.83</v>
      </c>
      <c r="L285" s="3">
        <v>8.99</v>
      </c>
      <c r="M285" s="3">
        <v>7</v>
      </c>
      <c r="N285" s="3">
        <v>4</v>
      </c>
      <c r="O285" s="3">
        <v>7</v>
      </c>
      <c r="P285" s="3">
        <v>4</v>
      </c>
      <c r="Q285" s="2" t="s">
        <v>141</v>
      </c>
      <c r="R285" s="2" t="s">
        <v>66</v>
      </c>
      <c r="S285" s="2" t="s">
        <v>67</v>
      </c>
      <c r="T285" s="2" t="s">
        <v>16</v>
      </c>
      <c r="U285" s="2" t="s">
        <v>42</v>
      </c>
      <c r="V285" s="4" t="s">
        <v>18</v>
      </c>
    </row>
    <row r="286" spans="2:22" x14ac:dyDescent="0.3">
      <c r="B286" s="5" t="s">
        <v>530</v>
      </c>
      <c r="C286" s="7" t="s">
        <v>530</v>
      </c>
      <c r="D286" s="5" t="s">
        <v>531</v>
      </c>
      <c r="E286" s="7" t="s">
        <v>762</v>
      </c>
      <c r="F286" s="6" t="s">
        <v>24</v>
      </c>
      <c r="G286" s="6" t="s">
        <v>24</v>
      </c>
      <c r="H286" s="7">
        <v>2000</v>
      </c>
      <c r="I286" s="7">
        <v>2000</v>
      </c>
      <c r="J286" s="7">
        <v>9829</v>
      </c>
      <c r="K286" s="7">
        <v>34.92</v>
      </c>
      <c r="L286" s="7">
        <v>23.71</v>
      </c>
      <c r="M286" s="7">
        <v>9</v>
      </c>
      <c r="N286" s="7">
        <v>6</v>
      </c>
      <c r="O286" s="7">
        <v>8</v>
      </c>
      <c r="P286" s="7">
        <v>4</v>
      </c>
      <c r="Q286" s="6" t="s">
        <v>25</v>
      </c>
      <c r="R286" s="6" t="s">
        <v>26</v>
      </c>
      <c r="S286" s="6" t="s">
        <v>93</v>
      </c>
      <c r="T286" s="6" t="s">
        <v>28</v>
      </c>
      <c r="U286" s="6" t="s">
        <v>29</v>
      </c>
      <c r="V286" s="8" t="s">
        <v>18</v>
      </c>
    </row>
    <row r="287" spans="2:22" x14ac:dyDescent="0.3">
      <c r="B287" s="1" t="s">
        <v>532</v>
      </c>
      <c r="C287" s="3" t="s">
        <v>532</v>
      </c>
      <c r="D287" s="1" t="s">
        <v>533</v>
      </c>
      <c r="E287" s="3" t="s">
        <v>763</v>
      </c>
      <c r="F287" s="2" t="s">
        <v>48</v>
      </c>
      <c r="G287" s="2" t="s">
        <v>48</v>
      </c>
      <c r="H287" s="3">
        <v>1990</v>
      </c>
      <c r="I287" s="3">
        <v>1990</v>
      </c>
      <c r="J287" s="3">
        <v>6864</v>
      </c>
      <c r="K287" s="3">
        <v>276.11</v>
      </c>
      <c r="L287" s="3">
        <v>1.55</v>
      </c>
      <c r="M287" s="3">
        <v>7</v>
      </c>
      <c r="N287" s="3">
        <v>2</v>
      </c>
      <c r="O287" s="3">
        <v>5</v>
      </c>
      <c r="P287" s="3">
        <v>3</v>
      </c>
      <c r="Q287" s="2" t="s">
        <v>60</v>
      </c>
      <c r="R287" s="2" t="s">
        <v>99</v>
      </c>
      <c r="S287" s="2" t="s">
        <v>51</v>
      </c>
      <c r="T287" s="2" t="s">
        <v>52</v>
      </c>
      <c r="U287" s="2" t="s">
        <v>42</v>
      </c>
      <c r="V287" s="4" t="s">
        <v>18</v>
      </c>
    </row>
    <row r="288" spans="2:22" x14ac:dyDescent="0.3">
      <c r="B288" s="5" t="s">
        <v>534</v>
      </c>
      <c r="C288" s="7" t="s">
        <v>534</v>
      </c>
      <c r="D288" s="5" t="s">
        <v>535</v>
      </c>
      <c r="E288" s="7" t="s">
        <v>764</v>
      </c>
      <c r="F288" s="6" t="s">
        <v>48</v>
      </c>
      <c r="G288" s="6" t="s">
        <v>48</v>
      </c>
      <c r="H288" s="7">
        <v>1980</v>
      </c>
      <c r="I288" s="7">
        <v>1980</v>
      </c>
      <c r="J288" s="7">
        <v>1929</v>
      </c>
      <c r="K288" s="7">
        <v>337.78</v>
      </c>
      <c r="L288" s="7">
        <v>22.48</v>
      </c>
      <c r="M288" s="7">
        <v>7</v>
      </c>
      <c r="N288" s="7">
        <v>3</v>
      </c>
      <c r="O288" s="7">
        <v>8</v>
      </c>
      <c r="P288" s="7">
        <v>6</v>
      </c>
      <c r="Q288" s="6" t="s">
        <v>51</v>
      </c>
      <c r="R288" s="6" t="s">
        <v>14</v>
      </c>
      <c r="S288" s="6" t="s">
        <v>61</v>
      </c>
      <c r="T288" s="6" t="s">
        <v>52</v>
      </c>
      <c r="U288" s="6" t="s">
        <v>17</v>
      </c>
      <c r="V288" s="8" t="s">
        <v>18</v>
      </c>
    </row>
    <row r="289" spans="2:22" x14ac:dyDescent="0.3">
      <c r="B289" s="1" t="s">
        <v>536</v>
      </c>
      <c r="C289" s="3" t="s">
        <v>536</v>
      </c>
      <c r="D289" s="1" t="s">
        <v>149</v>
      </c>
      <c r="E289" s="3" t="s">
        <v>624</v>
      </c>
      <c r="F289" s="2" t="s">
        <v>3</v>
      </c>
      <c r="G289" s="2" t="s">
        <v>3</v>
      </c>
      <c r="H289" s="3">
        <v>2014</v>
      </c>
      <c r="I289" s="3">
        <v>2014</v>
      </c>
      <c r="J289" s="3">
        <v>4683</v>
      </c>
      <c r="K289" s="3">
        <v>22.11</v>
      </c>
      <c r="L289" s="3">
        <v>4.6100000000000003</v>
      </c>
      <c r="M289" s="3">
        <v>8</v>
      </c>
      <c r="N289" s="3">
        <v>4</v>
      </c>
      <c r="O289" s="3">
        <v>7</v>
      </c>
      <c r="P289" s="3">
        <v>6</v>
      </c>
      <c r="Q289" s="2" t="s">
        <v>39</v>
      </c>
      <c r="R289" s="2" t="s">
        <v>5</v>
      </c>
      <c r="S289" s="2" t="s">
        <v>6</v>
      </c>
      <c r="T289" s="2" t="s">
        <v>78</v>
      </c>
      <c r="U289" s="2" t="s">
        <v>29</v>
      </c>
      <c r="V289" s="4" t="s">
        <v>18</v>
      </c>
    </row>
    <row r="290" spans="2:22" x14ac:dyDescent="0.3">
      <c r="B290" s="5" t="s">
        <v>537</v>
      </c>
      <c r="C290" s="7" t="s">
        <v>537</v>
      </c>
      <c r="D290" s="5" t="s">
        <v>525</v>
      </c>
      <c r="E290" s="7" t="s">
        <v>760</v>
      </c>
      <c r="F290" s="6" t="s">
        <v>24</v>
      </c>
      <c r="G290" s="6" t="s">
        <v>24</v>
      </c>
      <c r="H290" s="7">
        <v>2014</v>
      </c>
      <c r="I290" s="7">
        <v>2014</v>
      </c>
      <c r="J290" s="7">
        <v>8786</v>
      </c>
      <c r="K290" s="7">
        <v>13.59</v>
      </c>
      <c r="L290" s="7">
        <v>14.4</v>
      </c>
      <c r="M290" s="7">
        <v>4</v>
      </c>
      <c r="N290" s="7">
        <v>3</v>
      </c>
      <c r="O290" s="7">
        <v>8</v>
      </c>
      <c r="P290" s="7">
        <v>7</v>
      </c>
      <c r="Q290" s="6" t="s">
        <v>141</v>
      </c>
      <c r="R290" s="6" t="s">
        <v>131</v>
      </c>
      <c r="S290" s="6" t="s">
        <v>93</v>
      </c>
      <c r="T290" s="6" t="s">
        <v>200</v>
      </c>
      <c r="U290" s="6" t="s">
        <v>17</v>
      </c>
      <c r="V290" s="8" t="s">
        <v>36</v>
      </c>
    </row>
    <row r="291" spans="2:22" x14ac:dyDescent="0.3">
      <c r="B291" s="1" t="s">
        <v>538</v>
      </c>
      <c r="C291" s="3" t="s">
        <v>538</v>
      </c>
      <c r="D291" s="1" t="s">
        <v>262</v>
      </c>
      <c r="E291" s="3" t="s">
        <v>670</v>
      </c>
      <c r="F291" s="2" t="s">
        <v>12</v>
      </c>
      <c r="G291" s="2" t="s">
        <v>12</v>
      </c>
      <c r="H291" s="3">
        <v>2009</v>
      </c>
      <c r="I291" s="3">
        <v>2009</v>
      </c>
      <c r="J291" s="3">
        <v>5484</v>
      </c>
      <c r="K291" s="3">
        <v>28.56</v>
      </c>
      <c r="L291" s="3">
        <v>6.64</v>
      </c>
      <c r="M291" s="3">
        <v>4</v>
      </c>
      <c r="N291" s="3">
        <v>2</v>
      </c>
      <c r="O291" s="3">
        <v>4</v>
      </c>
      <c r="P291" s="3">
        <v>4</v>
      </c>
      <c r="Q291" s="2" t="s">
        <v>55</v>
      </c>
      <c r="R291" s="2" t="s">
        <v>152</v>
      </c>
      <c r="S291" s="2" t="s">
        <v>56</v>
      </c>
      <c r="T291" s="2" t="s">
        <v>57</v>
      </c>
      <c r="U291" s="2" t="s">
        <v>17</v>
      </c>
      <c r="V291" s="4" t="s">
        <v>36</v>
      </c>
    </row>
    <row r="292" spans="2:22" x14ac:dyDescent="0.3">
      <c r="B292" s="5" t="s">
        <v>539</v>
      </c>
      <c r="C292" s="7" t="s">
        <v>539</v>
      </c>
      <c r="D292" s="5" t="s">
        <v>239</v>
      </c>
      <c r="E292" s="7" t="s">
        <v>659</v>
      </c>
      <c r="F292" s="6" t="s">
        <v>3</v>
      </c>
      <c r="G292" s="6" t="s">
        <v>3</v>
      </c>
      <c r="H292" s="7">
        <v>1981</v>
      </c>
      <c r="I292" s="7">
        <v>1981</v>
      </c>
      <c r="J292" s="7">
        <v>6431</v>
      </c>
      <c r="K292" s="7">
        <v>339.92</v>
      </c>
      <c r="L292" s="7">
        <v>22.84</v>
      </c>
      <c r="M292" s="7">
        <v>8</v>
      </c>
      <c r="N292" s="7">
        <v>2</v>
      </c>
      <c r="O292" s="7">
        <v>8</v>
      </c>
      <c r="P292" s="7">
        <v>7</v>
      </c>
      <c r="Q292" s="6" t="s">
        <v>45</v>
      </c>
      <c r="R292" s="6" t="s">
        <v>77</v>
      </c>
      <c r="S292" s="6" t="s">
        <v>6</v>
      </c>
      <c r="T292" s="6" t="s">
        <v>7</v>
      </c>
      <c r="U292" s="6" t="s">
        <v>42</v>
      </c>
      <c r="V292" s="8" t="s">
        <v>18</v>
      </c>
    </row>
    <row r="293" spans="2:22" x14ac:dyDescent="0.3">
      <c r="B293" s="1" t="s">
        <v>540</v>
      </c>
      <c r="C293" s="3" t="s">
        <v>540</v>
      </c>
      <c r="D293" s="1" t="s">
        <v>383</v>
      </c>
      <c r="E293" s="3" t="s">
        <v>717</v>
      </c>
      <c r="F293" s="2" t="s">
        <v>3</v>
      </c>
      <c r="G293" s="2" t="s">
        <v>3</v>
      </c>
      <c r="H293" s="3">
        <v>2018</v>
      </c>
      <c r="I293" s="3">
        <v>2018</v>
      </c>
      <c r="J293" s="3">
        <v>1467</v>
      </c>
      <c r="K293" s="3">
        <v>147.94</v>
      </c>
      <c r="L293" s="3">
        <v>17.399999999999999</v>
      </c>
      <c r="M293" s="3">
        <v>7</v>
      </c>
      <c r="N293" s="3">
        <v>5</v>
      </c>
      <c r="O293" s="3">
        <v>6</v>
      </c>
      <c r="P293" s="3">
        <v>7</v>
      </c>
      <c r="Q293" s="2" t="s">
        <v>4</v>
      </c>
      <c r="R293" s="2" t="s">
        <v>5</v>
      </c>
      <c r="S293" s="2" t="s">
        <v>116</v>
      </c>
      <c r="T293" s="2" t="s">
        <v>41</v>
      </c>
      <c r="U293" s="2" t="s">
        <v>29</v>
      </c>
      <c r="V293" s="4" t="s">
        <v>36</v>
      </c>
    </row>
    <row r="294" spans="2:22" x14ac:dyDescent="0.3">
      <c r="B294" s="5" t="s">
        <v>541</v>
      </c>
      <c r="C294" s="7" t="s">
        <v>541</v>
      </c>
      <c r="D294" s="5" t="s">
        <v>383</v>
      </c>
      <c r="E294" s="7" t="s">
        <v>717</v>
      </c>
      <c r="F294" s="6" t="s">
        <v>24</v>
      </c>
      <c r="G294" s="6" t="s">
        <v>24</v>
      </c>
      <c r="H294" s="7">
        <v>1999</v>
      </c>
      <c r="I294" s="7">
        <v>1999</v>
      </c>
      <c r="J294" s="7">
        <v>6163</v>
      </c>
      <c r="K294" s="7">
        <v>479.12</v>
      </c>
      <c r="L294" s="7">
        <v>4.1399999999999997</v>
      </c>
      <c r="M294" s="7">
        <v>4</v>
      </c>
      <c r="N294" s="7">
        <v>6</v>
      </c>
      <c r="O294" s="7">
        <v>7</v>
      </c>
      <c r="P294" s="7">
        <v>3</v>
      </c>
      <c r="Q294" s="6" t="s">
        <v>60</v>
      </c>
      <c r="R294" s="6" t="s">
        <v>195</v>
      </c>
      <c r="S294" s="6" t="s">
        <v>93</v>
      </c>
      <c r="T294" s="6" t="s">
        <v>68</v>
      </c>
      <c r="U294" s="6" t="s">
        <v>8</v>
      </c>
      <c r="V294" s="8" t="s">
        <v>36</v>
      </c>
    </row>
    <row r="295" spans="2:22" x14ac:dyDescent="0.3">
      <c r="B295" s="1" t="s">
        <v>542</v>
      </c>
      <c r="C295" s="3" t="s">
        <v>542</v>
      </c>
      <c r="D295" s="1" t="s">
        <v>352</v>
      </c>
      <c r="E295" s="3" t="s">
        <v>705</v>
      </c>
      <c r="F295" s="2" t="s">
        <v>81</v>
      </c>
      <c r="G295" s="2" t="s">
        <v>81</v>
      </c>
      <c r="H295" s="3">
        <v>2012</v>
      </c>
      <c r="I295" s="3">
        <v>2012</v>
      </c>
      <c r="J295" s="3">
        <v>2383</v>
      </c>
      <c r="K295" s="3">
        <v>88.87</v>
      </c>
      <c r="L295" s="3">
        <v>3.72</v>
      </c>
      <c r="M295" s="3">
        <v>5</v>
      </c>
      <c r="N295" s="3">
        <v>6</v>
      </c>
      <c r="O295" s="3">
        <v>5</v>
      </c>
      <c r="P295" s="3">
        <v>3</v>
      </c>
      <c r="Q295" s="2" t="s">
        <v>87</v>
      </c>
      <c r="R295" s="2" t="s">
        <v>104</v>
      </c>
      <c r="S295" s="2" t="s">
        <v>82</v>
      </c>
      <c r="T295" s="2" t="s">
        <v>90</v>
      </c>
      <c r="U295" s="2" t="s">
        <v>8</v>
      </c>
      <c r="V295" s="4" t="s">
        <v>36</v>
      </c>
    </row>
    <row r="296" spans="2:22" x14ac:dyDescent="0.3">
      <c r="B296" s="5" t="s">
        <v>543</v>
      </c>
      <c r="C296" s="7" t="s">
        <v>543</v>
      </c>
      <c r="D296" s="5" t="s">
        <v>197</v>
      </c>
      <c r="E296" s="7" t="s">
        <v>642</v>
      </c>
      <c r="F296" s="6" t="s">
        <v>12</v>
      </c>
      <c r="G296" s="6" t="s">
        <v>12</v>
      </c>
      <c r="H296" s="7">
        <v>1992</v>
      </c>
      <c r="I296" s="7">
        <v>1992</v>
      </c>
      <c r="J296" s="7">
        <v>9562</v>
      </c>
      <c r="K296" s="7">
        <v>248.72</v>
      </c>
      <c r="L296" s="7">
        <v>4.53</v>
      </c>
      <c r="M296" s="7">
        <v>6</v>
      </c>
      <c r="N296" s="7">
        <v>4</v>
      </c>
      <c r="O296" s="7">
        <v>4</v>
      </c>
      <c r="P296" s="7">
        <v>7</v>
      </c>
      <c r="Q296" s="6" t="s">
        <v>95</v>
      </c>
      <c r="R296" s="6" t="s">
        <v>152</v>
      </c>
      <c r="S296" s="6" t="s">
        <v>34</v>
      </c>
      <c r="T296" s="6" t="s">
        <v>35</v>
      </c>
      <c r="U296" s="6" t="s">
        <v>29</v>
      </c>
      <c r="V296" s="8" t="s">
        <v>9</v>
      </c>
    </row>
    <row r="297" spans="2:22" x14ac:dyDescent="0.3">
      <c r="B297" s="1" t="s">
        <v>544</v>
      </c>
      <c r="C297" s="3" t="s">
        <v>544</v>
      </c>
      <c r="D297" s="1" t="s">
        <v>545</v>
      </c>
      <c r="E297" s="3" t="s">
        <v>765</v>
      </c>
      <c r="F297" s="2" t="s">
        <v>48</v>
      </c>
      <c r="G297" s="2" t="s">
        <v>48</v>
      </c>
      <c r="H297" s="3">
        <v>1999</v>
      </c>
      <c r="I297" s="3">
        <v>1999</v>
      </c>
      <c r="J297" s="3">
        <v>9621</v>
      </c>
      <c r="K297" s="3">
        <v>84.67</v>
      </c>
      <c r="L297" s="3">
        <v>16.37</v>
      </c>
      <c r="M297" s="3">
        <v>8</v>
      </c>
      <c r="N297" s="3">
        <v>4</v>
      </c>
      <c r="O297" s="3">
        <v>5</v>
      </c>
      <c r="P297" s="3">
        <v>5</v>
      </c>
      <c r="Q297" s="2" t="s">
        <v>60</v>
      </c>
      <c r="R297" s="2" t="s">
        <v>50</v>
      </c>
      <c r="S297" s="2" t="s">
        <v>51</v>
      </c>
      <c r="T297" s="2" t="s">
        <v>100</v>
      </c>
      <c r="U297" s="2" t="s">
        <v>29</v>
      </c>
      <c r="V297" s="4" t="s">
        <v>18</v>
      </c>
    </row>
    <row r="298" spans="2:22" x14ac:dyDescent="0.3">
      <c r="B298" s="5" t="s">
        <v>546</v>
      </c>
      <c r="C298" s="7" t="s">
        <v>546</v>
      </c>
      <c r="D298" s="5" t="s">
        <v>547</v>
      </c>
      <c r="E298" s="7" t="s">
        <v>766</v>
      </c>
      <c r="F298" s="6" t="s">
        <v>3</v>
      </c>
      <c r="G298" s="6" t="s">
        <v>3</v>
      </c>
      <c r="H298" s="7">
        <v>1988</v>
      </c>
      <c r="I298" s="7">
        <v>1988</v>
      </c>
      <c r="J298" s="7">
        <v>5482</v>
      </c>
      <c r="K298" s="7">
        <v>440.16</v>
      </c>
      <c r="L298" s="7">
        <v>20.76</v>
      </c>
      <c r="M298" s="7">
        <v>7</v>
      </c>
      <c r="N298" s="7">
        <v>5</v>
      </c>
      <c r="O298" s="7">
        <v>5</v>
      </c>
      <c r="P298" s="7">
        <v>4</v>
      </c>
      <c r="Q298" s="6" t="s">
        <v>39</v>
      </c>
      <c r="R298" s="6" t="s">
        <v>77</v>
      </c>
      <c r="S298" s="6" t="s">
        <v>116</v>
      </c>
      <c r="T298" s="6" t="s">
        <v>7</v>
      </c>
      <c r="U298" s="6" t="s">
        <v>42</v>
      </c>
      <c r="V298" s="8" t="s">
        <v>36</v>
      </c>
    </row>
    <row r="299" spans="2:22" x14ac:dyDescent="0.3">
      <c r="B299" s="1" t="s">
        <v>548</v>
      </c>
      <c r="C299" s="3" t="s">
        <v>548</v>
      </c>
      <c r="D299" s="1" t="s">
        <v>136</v>
      </c>
      <c r="E299" s="3" t="s">
        <v>620</v>
      </c>
      <c r="F299" s="2" t="s">
        <v>24</v>
      </c>
      <c r="G299" s="2" t="s">
        <v>24</v>
      </c>
      <c r="H299" s="3">
        <v>1996</v>
      </c>
      <c r="I299" s="3">
        <v>1996</v>
      </c>
      <c r="J299" s="3">
        <v>1302</v>
      </c>
      <c r="K299" s="3">
        <v>366.44</v>
      </c>
      <c r="L299" s="3">
        <v>11.3</v>
      </c>
      <c r="M299" s="3">
        <v>4</v>
      </c>
      <c r="N299" s="3">
        <v>6</v>
      </c>
      <c r="O299" s="3">
        <v>8</v>
      </c>
      <c r="P299" s="3">
        <v>2</v>
      </c>
      <c r="Q299" s="2" t="s">
        <v>65</v>
      </c>
      <c r="R299" s="2" t="s">
        <v>131</v>
      </c>
      <c r="S299" s="2" t="s">
        <v>132</v>
      </c>
      <c r="T299" s="2" t="s">
        <v>16</v>
      </c>
      <c r="U299" s="2" t="s">
        <v>42</v>
      </c>
      <c r="V299" s="4" t="s">
        <v>18</v>
      </c>
    </row>
    <row r="300" spans="2:22" x14ac:dyDescent="0.3">
      <c r="B300" s="5" t="s">
        <v>549</v>
      </c>
      <c r="C300" s="7" t="s">
        <v>549</v>
      </c>
      <c r="D300" s="5" t="s">
        <v>401</v>
      </c>
      <c r="E300" s="7" t="s">
        <v>725</v>
      </c>
      <c r="F300" s="6" t="s">
        <v>24</v>
      </c>
      <c r="G300" s="6" t="s">
        <v>24</v>
      </c>
      <c r="H300" s="7">
        <v>2003</v>
      </c>
      <c r="I300" s="7">
        <v>2003</v>
      </c>
      <c r="J300" s="7">
        <v>6480</v>
      </c>
      <c r="K300" s="7">
        <v>119.42</v>
      </c>
      <c r="L300" s="7">
        <v>14.88</v>
      </c>
      <c r="M300" s="7">
        <v>8</v>
      </c>
      <c r="N300" s="7">
        <v>7</v>
      </c>
      <c r="O300" s="7">
        <v>5</v>
      </c>
      <c r="P300" s="7">
        <v>3</v>
      </c>
      <c r="Q300" s="6" t="s">
        <v>25</v>
      </c>
      <c r="R300" s="6" t="s">
        <v>195</v>
      </c>
      <c r="S300" s="6" t="s">
        <v>27</v>
      </c>
      <c r="T300" s="6" t="s">
        <v>28</v>
      </c>
      <c r="U300" s="6" t="s">
        <v>8</v>
      </c>
      <c r="V300" s="8" t="s">
        <v>36</v>
      </c>
    </row>
    <row r="301" spans="2:22" x14ac:dyDescent="0.3">
      <c r="B301" s="1" t="s">
        <v>550</v>
      </c>
      <c r="C301" s="3" t="s">
        <v>550</v>
      </c>
      <c r="D301" s="1" t="s">
        <v>319</v>
      </c>
      <c r="E301" s="3" t="s">
        <v>692</v>
      </c>
      <c r="F301" s="2" t="s">
        <v>24</v>
      </c>
      <c r="G301" s="2" t="s">
        <v>24</v>
      </c>
      <c r="H301" s="3">
        <v>2008</v>
      </c>
      <c r="I301" s="3">
        <v>2008</v>
      </c>
      <c r="J301" s="3">
        <v>2658</v>
      </c>
      <c r="K301" s="3">
        <v>97.78</v>
      </c>
      <c r="L301" s="3">
        <v>1.95</v>
      </c>
      <c r="M301" s="3">
        <v>8</v>
      </c>
      <c r="N301" s="3">
        <v>7</v>
      </c>
      <c r="O301" s="3">
        <v>4</v>
      </c>
      <c r="P301" s="3">
        <v>7</v>
      </c>
      <c r="Q301" s="2" t="s">
        <v>25</v>
      </c>
      <c r="R301" s="2" t="s">
        <v>26</v>
      </c>
      <c r="S301" s="2" t="s">
        <v>93</v>
      </c>
      <c r="T301" s="2" t="s">
        <v>200</v>
      </c>
      <c r="U301" s="2" t="s">
        <v>17</v>
      </c>
      <c r="V301" s="4" t="s">
        <v>9</v>
      </c>
    </row>
    <row r="302" spans="2:22" x14ac:dyDescent="0.3">
      <c r="B302" s="5" t="s">
        <v>551</v>
      </c>
      <c r="C302" s="7" t="s">
        <v>551</v>
      </c>
      <c r="D302" s="5" t="s">
        <v>204</v>
      </c>
      <c r="E302" s="7" t="s">
        <v>645</v>
      </c>
      <c r="F302" s="6" t="s">
        <v>24</v>
      </c>
      <c r="G302" s="6" t="s">
        <v>24</v>
      </c>
      <c r="H302" s="7">
        <v>1982</v>
      </c>
      <c r="I302" s="7">
        <v>1982</v>
      </c>
      <c r="J302" s="7">
        <v>3437</v>
      </c>
      <c r="K302" s="7">
        <v>263.76</v>
      </c>
      <c r="L302" s="7">
        <v>20.05</v>
      </c>
      <c r="M302" s="7">
        <v>6</v>
      </c>
      <c r="N302" s="7">
        <v>5</v>
      </c>
      <c r="O302" s="7">
        <v>6</v>
      </c>
      <c r="P302" s="7">
        <v>5</v>
      </c>
      <c r="Q302" s="6" t="s">
        <v>60</v>
      </c>
      <c r="R302" s="6" t="s">
        <v>195</v>
      </c>
      <c r="S302" s="6" t="s">
        <v>67</v>
      </c>
      <c r="T302" s="6" t="s">
        <v>16</v>
      </c>
      <c r="U302" s="6" t="s">
        <v>42</v>
      </c>
      <c r="V302" s="8" t="s">
        <v>36</v>
      </c>
    </row>
    <row r="303" spans="2:22" x14ac:dyDescent="0.3">
      <c r="B303" s="1"/>
      <c r="C303" s="3" t="s">
        <v>589</v>
      </c>
      <c r="D303" s="1" t="s">
        <v>552</v>
      </c>
      <c r="E303" s="3" t="s">
        <v>767</v>
      </c>
      <c r="F303" s="2" t="s">
        <v>48</v>
      </c>
      <c r="G303" s="2" t="s">
        <v>48</v>
      </c>
      <c r="H303" s="3">
        <v>2016</v>
      </c>
      <c r="I303" s="3">
        <v>2016</v>
      </c>
      <c r="J303" s="3">
        <v>2898</v>
      </c>
      <c r="K303" s="3">
        <v>194.56</v>
      </c>
      <c r="L303" s="3">
        <v>5.59</v>
      </c>
      <c r="M303" s="3">
        <v>7</v>
      </c>
      <c r="N303" s="3">
        <v>4</v>
      </c>
      <c r="O303" s="3">
        <v>7</v>
      </c>
      <c r="P303" s="3">
        <v>7</v>
      </c>
      <c r="Q303" s="2" t="s">
        <v>49</v>
      </c>
      <c r="R303" s="2" t="s">
        <v>99</v>
      </c>
      <c r="S303" s="2" t="s">
        <v>89</v>
      </c>
      <c r="T303" s="2" t="s">
        <v>100</v>
      </c>
      <c r="U303" s="2" t="s">
        <v>17</v>
      </c>
      <c r="V303" s="4" t="s">
        <v>36</v>
      </c>
    </row>
    <row r="304" spans="2:22" x14ac:dyDescent="0.3">
      <c r="B304" s="5" t="s">
        <v>553</v>
      </c>
      <c r="C304" s="7" t="s">
        <v>553</v>
      </c>
      <c r="D304" s="5" t="s">
        <v>401</v>
      </c>
      <c r="E304" s="7" t="s">
        <v>725</v>
      </c>
      <c r="F304" s="6" t="s">
        <v>81</v>
      </c>
      <c r="G304" s="6" t="s">
        <v>81</v>
      </c>
      <c r="H304" s="7">
        <v>2018</v>
      </c>
      <c r="I304" s="7">
        <v>2018</v>
      </c>
      <c r="J304" s="7">
        <v>158</v>
      </c>
      <c r="K304" s="7">
        <v>255.9</v>
      </c>
      <c r="L304" s="7">
        <v>-0.28000000000000003</v>
      </c>
      <c r="M304" s="7">
        <v>5</v>
      </c>
      <c r="N304" s="7">
        <v>5</v>
      </c>
      <c r="O304" s="7">
        <v>4</v>
      </c>
      <c r="P304" s="7">
        <v>3</v>
      </c>
      <c r="Q304" s="6" t="s">
        <v>87</v>
      </c>
      <c r="R304" s="6" t="s">
        <v>139</v>
      </c>
      <c r="S304" s="6" t="s">
        <v>209</v>
      </c>
      <c r="T304" s="6" t="s">
        <v>111</v>
      </c>
      <c r="U304" s="6" t="s">
        <v>29</v>
      </c>
      <c r="V304" s="8" t="s">
        <v>36</v>
      </c>
    </row>
    <row r="305" spans="2:22" x14ac:dyDescent="0.3">
      <c r="B305" s="1" t="s">
        <v>554</v>
      </c>
      <c r="C305" s="3" t="s">
        <v>554</v>
      </c>
      <c r="D305" s="1" t="s">
        <v>300</v>
      </c>
      <c r="E305" s="3" t="s">
        <v>685</v>
      </c>
      <c r="F305" s="2" t="s">
        <v>81</v>
      </c>
      <c r="G305" s="2" t="s">
        <v>81</v>
      </c>
      <c r="H305" s="3">
        <v>2001</v>
      </c>
      <c r="I305" s="3">
        <v>2001</v>
      </c>
      <c r="J305" s="3">
        <v>1906</v>
      </c>
      <c r="K305" s="3">
        <v>245.94</v>
      </c>
      <c r="L305" s="3">
        <v>-1.1599999999999999</v>
      </c>
      <c r="M305" s="3">
        <v>7</v>
      </c>
      <c r="N305" s="3">
        <v>5</v>
      </c>
      <c r="O305" s="3">
        <v>4</v>
      </c>
      <c r="P305" s="3">
        <v>6</v>
      </c>
      <c r="Q305" s="2" t="s">
        <v>144</v>
      </c>
      <c r="R305" s="2" t="s">
        <v>88</v>
      </c>
      <c r="S305" s="2" t="s">
        <v>82</v>
      </c>
      <c r="T305" s="2" t="s">
        <v>111</v>
      </c>
      <c r="U305" s="2" t="s">
        <v>8</v>
      </c>
      <c r="V305" s="4" t="s">
        <v>9</v>
      </c>
    </row>
    <row r="306" spans="2:22" x14ac:dyDescent="0.3">
      <c r="B306" s="5" t="s">
        <v>555</v>
      </c>
      <c r="C306" s="7" t="s">
        <v>555</v>
      </c>
      <c r="D306" s="5" t="s">
        <v>147</v>
      </c>
      <c r="E306" s="7" t="s">
        <v>623</v>
      </c>
      <c r="F306" s="6" t="s">
        <v>48</v>
      </c>
      <c r="G306" s="6" t="s">
        <v>48</v>
      </c>
      <c r="H306" s="7">
        <v>1982</v>
      </c>
      <c r="I306" s="7">
        <v>1982</v>
      </c>
      <c r="J306" s="7">
        <v>9426</v>
      </c>
      <c r="K306" s="7">
        <v>81.96</v>
      </c>
      <c r="L306" s="7">
        <v>8.48</v>
      </c>
      <c r="M306" s="7">
        <v>5</v>
      </c>
      <c r="N306" s="7">
        <v>4</v>
      </c>
      <c r="O306" s="7">
        <v>4</v>
      </c>
      <c r="P306" s="7">
        <v>6</v>
      </c>
      <c r="Q306" s="6" t="s">
        <v>121</v>
      </c>
      <c r="R306" s="6" t="s">
        <v>50</v>
      </c>
      <c r="S306" s="6" t="s">
        <v>51</v>
      </c>
      <c r="T306" s="6" t="s">
        <v>106</v>
      </c>
      <c r="U306" s="6" t="s">
        <v>29</v>
      </c>
      <c r="V306" s="8" t="s">
        <v>9</v>
      </c>
    </row>
    <row r="307" spans="2:22" x14ac:dyDescent="0.3">
      <c r="B307" s="1" t="s">
        <v>556</v>
      </c>
      <c r="C307" s="3" t="s">
        <v>556</v>
      </c>
      <c r="D307" s="1" t="s">
        <v>397</v>
      </c>
      <c r="E307" s="3" t="s">
        <v>723</v>
      </c>
      <c r="F307" s="2" t="s">
        <v>24</v>
      </c>
      <c r="G307" s="2" t="s">
        <v>24</v>
      </c>
      <c r="H307" s="3">
        <v>1994</v>
      </c>
      <c r="I307" s="3">
        <v>1994</v>
      </c>
      <c r="J307" s="3">
        <v>6780</v>
      </c>
      <c r="K307" s="3">
        <v>304.41000000000003</v>
      </c>
      <c r="L307" s="3">
        <v>12.9</v>
      </c>
      <c r="M307" s="3">
        <v>8</v>
      </c>
      <c r="N307" s="3">
        <v>3</v>
      </c>
      <c r="O307" s="3">
        <v>7</v>
      </c>
      <c r="P307" s="3">
        <v>7</v>
      </c>
      <c r="Q307" s="2" t="s">
        <v>65</v>
      </c>
      <c r="R307" s="2" t="s">
        <v>26</v>
      </c>
      <c r="S307" s="2" t="s">
        <v>132</v>
      </c>
      <c r="T307" s="2" t="s">
        <v>28</v>
      </c>
      <c r="U307" s="2" t="s">
        <v>17</v>
      </c>
      <c r="V307" s="4" t="s">
        <v>18</v>
      </c>
    </row>
    <row r="308" spans="2:22" x14ac:dyDescent="0.3">
      <c r="B308" s="5" t="s">
        <v>557</v>
      </c>
      <c r="C308" s="7" t="s">
        <v>557</v>
      </c>
      <c r="D308" s="5" t="s">
        <v>300</v>
      </c>
      <c r="E308" s="7" t="s">
        <v>685</v>
      </c>
      <c r="F308" s="6" t="s">
        <v>81</v>
      </c>
      <c r="G308" s="6" t="s">
        <v>81</v>
      </c>
      <c r="H308" s="7">
        <v>2004</v>
      </c>
      <c r="I308" s="7">
        <v>2004</v>
      </c>
      <c r="J308" s="7">
        <v>2216</v>
      </c>
      <c r="K308" s="7">
        <v>63.2</v>
      </c>
      <c r="L308" s="7">
        <v>22.05</v>
      </c>
      <c r="M308" s="7">
        <v>5</v>
      </c>
      <c r="N308" s="7">
        <v>6</v>
      </c>
      <c r="O308" s="7">
        <v>7</v>
      </c>
      <c r="P308" s="7">
        <v>7</v>
      </c>
      <c r="Q308" s="6" t="s">
        <v>190</v>
      </c>
      <c r="R308" s="6" t="s">
        <v>104</v>
      </c>
      <c r="S308" s="6" t="s">
        <v>82</v>
      </c>
      <c r="T308" s="6" t="s">
        <v>111</v>
      </c>
      <c r="U308" s="6" t="s">
        <v>17</v>
      </c>
      <c r="V308" s="8" t="s">
        <v>9</v>
      </c>
    </row>
    <row r="309" spans="2:22" x14ac:dyDescent="0.3">
      <c r="B309" s="1" t="s">
        <v>558</v>
      </c>
      <c r="C309" s="3" t="s">
        <v>558</v>
      </c>
      <c r="D309" s="1" t="s">
        <v>559</v>
      </c>
      <c r="E309" s="3" t="s">
        <v>768</v>
      </c>
      <c r="F309" s="2" t="s">
        <v>48</v>
      </c>
      <c r="G309" s="2" t="s">
        <v>48</v>
      </c>
      <c r="H309" s="3">
        <v>1987</v>
      </c>
      <c r="I309" s="3">
        <v>1987</v>
      </c>
      <c r="J309" s="3">
        <v>1576</v>
      </c>
      <c r="K309" s="3">
        <v>246.3</v>
      </c>
      <c r="L309" s="3">
        <v>1.88</v>
      </c>
      <c r="M309" s="3">
        <v>5</v>
      </c>
      <c r="N309" s="3">
        <v>6</v>
      </c>
      <c r="O309" s="3">
        <v>7</v>
      </c>
      <c r="P309" s="3">
        <v>2</v>
      </c>
      <c r="Q309" s="2" t="s">
        <v>121</v>
      </c>
      <c r="R309" s="2" t="s">
        <v>154</v>
      </c>
      <c r="S309" s="2" t="s">
        <v>51</v>
      </c>
      <c r="T309" s="2" t="s">
        <v>106</v>
      </c>
      <c r="U309" s="2" t="s">
        <v>17</v>
      </c>
      <c r="V309" s="4" t="s">
        <v>18</v>
      </c>
    </row>
    <row r="310" spans="2:22" x14ac:dyDescent="0.3">
      <c r="B310" s="5" t="s">
        <v>560</v>
      </c>
      <c r="C310" s="7" t="s">
        <v>560</v>
      </c>
      <c r="D310" s="5" t="s">
        <v>206</v>
      </c>
      <c r="E310" s="7" t="s">
        <v>646</v>
      </c>
      <c r="F310" s="6" t="s">
        <v>3</v>
      </c>
      <c r="G310" s="6" t="s">
        <v>3</v>
      </c>
      <c r="H310" s="7">
        <v>2017</v>
      </c>
      <c r="I310" s="7">
        <v>2017</v>
      </c>
      <c r="J310" s="7">
        <v>9489</v>
      </c>
      <c r="K310" s="7">
        <v>57.88</v>
      </c>
      <c r="L310" s="7">
        <v>-4.84</v>
      </c>
      <c r="M310" s="7">
        <v>5</v>
      </c>
      <c r="N310" s="7">
        <v>4</v>
      </c>
      <c r="O310" s="7">
        <v>6</v>
      </c>
      <c r="P310" s="7">
        <v>3</v>
      </c>
      <c r="Q310" s="6" t="s">
        <v>4</v>
      </c>
      <c r="R310" s="6" t="s">
        <v>157</v>
      </c>
      <c r="S310" s="6" t="s">
        <v>40</v>
      </c>
      <c r="T310" s="6" t="s">
        <v>78</v>
      </c>
      <c r="U310" s="6" t="s">
        <v>29</v>
      </c>
      <c r="V310" s="8" t="s">
        <v>18</v>
      </c>
    </row>
    <row r="311" spans="2:22" x14ac:dyDescent="0.3">
      <c r="B311" s="1" t="s">
        <v>561</v>
      </c>
      <c r="C311" s="3" t="s">
        <v>561</v>
      </c>
      <c r="D311" s="1" t="s">
        <v>562</v>
      </c>
      <c r="E311" s="3" t="s">
        <v>769</v>
      </c>
      <c r="F311" s="2" t="s">
        <v>48</v>
      </c>
      <c r="G311" s="2" t="s">
        <v>48</v>
      </c>
      <c r="H311" s="3">
        <v>1987</v>
      </c>
      <c r="I311" s="3">
        <v>1987</v>
      </c>
      <c r="J311" s="3">
        <v>8565</v>
      </c>
      <c r="K311" s="3">
        <v>13.53</v>
      </c>
      <c r="L311" s="3">
        <v>14.55</v>
      </c>
      <c r="M311" s="3">
        <v>9</v>
      </c>
      <c r="N311" s="3">
        <v>3</v>
      </c>
      <c r="O311" s="3">
        <v>8</v>
      </c>
      <c r="P311" s="3">
        <v>4</v>
      </c>
      <c r="Q311" s="2" t="s">
        <v>121</v>
      </c>
      <c r="R311" s="2" t="s">
        <v>99</v>
      </c>
      <c r="S311" s="2" t="s">
        <v>61</v>
      </c>
      <c r="T311" s="2" t="s">
        <v>100</v>
      </c>
      <c r="U311" s="2" t="s">
        <v>17</v>
      </c>
      <c r="V311" s="4" t="s">
        <v>18</v>
      </c>
    </row>
    <row r="312" spans="2:22" x14ac:dyDescent="0.3">
      <c r="B312" s="5" t="s">
        <v>563</v>
      </c>
      <c r="C312" s="7" t="s">
        <v>563</v>
      </c>
      <c r="D312" s="5" t="s">
        <v>383</v>
      </c>
      <c r="E312" s="7" t="s">
        <v>717</v>
      </c>
      <c r="F312" s="6" t="s">
        <v>48</v>
      </c>
      <c r="G312" s="6" t="s">
        <v>48</v>
      </c>
      <c r="H312" s="7">
        <v>2007</v>
      </c>
      <c r="I312" s="7">
        <v>2007</v>
      </c>
      <c r="J312" s="7">
        <v>9301</v>
      </c>
      <c r="K312" s="7">
        <v>189.17</v>
      </c>
      <c r="L312" s="7">
        <v>2.61</v>
      </c>
      <c r="M312" s="7">
        <v>6</v>
      </c>
      <c r="N312" s="7">
        <v>7</v>
      </c>
      <c r="O312" s="7">
        <v>6</v>
      </c>
      <c r="P312" s="7">
        <v>3</v>
      </c>
      <c r="Q312" s="6" t="s">
        <v>121</v>
      </c>
      <c r="R312" s="6" t="s">
        <v>154</v>
      </c>
      <c r="S312" s="6" t="s">
        <v>218</v>
      </c>
      <c r="T312" s="6" t="s">
        <v>52</v>
      </c>
      <c r="U312" s="6" t="s">
        <v>17</v>
      </c>
      <c r="V312" s="8" t="s">
        <v>36</v>
      </c>
    </row>
    <row r="313" spans="2:22" x14ac:dyDescent="0.3">
      <c r="B313" s="1" t="s">
        <v>564</v>
      </c>
      <c r="C313" s="3" t="s">
        <v>564</v>
      </c>
      <c r="D313" s="1" t="s">
        <v>304</v>
      </c>
      <c r="E313" s="3" t="s">
        <v>687</v>
      </c>
      <c r="F313" s="2" t="s">
        <v>3</v>
      </c>
      <c r="G313" s="2" t="s">
        <v>3</v>
      </c>
      <c r="H313" s="3">
        <v>2005</v>
      </c>
      <c r="I313" s="3">
        <v>2005</v>
      </c>
      <c r="J313" s="3">
        <v>2312</v>
      </c>
      <c r="K313" s="3">
        <v>428.95</v>
      </c>
      <c r="L313" s="3">
        <v>18.579999999999998</v>
      </c>
      <c r="M313" s="3">
        <v>9</v>
      </c>
      <c r="N313" s="3">
        <v>2</v>
      </c>
      <c r="O313" s="3">
        <v>8</v>
      </c>
      <c r="P313" s="3">
        <v>3</v>
      </c>
      <c r="Q313" s="2" t="s">
        <v>39</v>
      </c>
      <c r="R313" s="2" t="s">
        <v>115</v>
      </c>
      <c r="S313" s="2" t="s">
        <v>6</v>
      </c>
      <c r="T313" s="2" t="s">
        <v>41</v>
      </c>
      <c r="U313" s="2" t="s">
        <v>17</v>
      </c>
      <c r="V313" s="4" t="s">
        <v>18</v>
      </c>
    </row>
    <row r="314" spans="2:22" x14ac:dyDescent="0.3">
      <c r="B314" s="5" t="s">
        <v>565</v>
      </c>
      <c r="C314" s="7" t="s">
        <v>565</v>
      </c>
      <c r="D314" s="5" t="s">
        <v>566</v>
      </c>
      <c r="E314" s="7" t="s">
        <v>770</v>
      </c>
      <c r="F314" s="6" t="s">
        <v>12</v>
      </c>
      <c r="G314" s="6" t="s">
        <v>12</v>
      </c>
      <c r="H314" s="7">
        <v>1990</v>
      </c>
      <c r="I314" s="7">
        <v>1990</v>
      </c>
      <c r="J314" s="7">
        <v>6425</v>
      </c>
      <c r="K314" s="7">
        <v>482.64</v>
      </c>
      <c r="L314" s="7">
        <v>1.65</v>
      </c>
      <c r="M314" s="7">
        <v>4</v>
      </c>
      <c r="N314" s="7">
        <v>2</v>
      </c>
      <c r="O314" s="7">
        <v>4</v>
      </c>
      <c r="P314" s="7">
        <v>5</v>
      </c>
      <c r="Q314" s="6" t="s">
        <v>55</v>
      </c>
      <c r="R314" s="6" t="s">
        <v>73</v>
      </c>
      <c r="S314" s="6" t="s">
        <v>15</v>
      </c>
      <c r="T314" s="6" t="s">
        <v>35</v>
      </c>
      <c r="U314" s="6" t="s">
        <v>42</v>
      </c>
      <c r="V314" s="8" t="s">
        <v>36</v>
      </c>
    </row>
    <row r="315" spans="2:22" x14ac:dyDescent="0.3">
      <c r="B315" s="1" t="s">
        <v>567</v>
      </c>
      <c r="C315" s="3" t="s">
        <v>590</v>
      </c>
      <c r="D315" s="1" t="s">
        <v>568</v>
      </c>
      <c r="E315" s="3" t="s">
        <v>771</v>
      </c>
      <c r="F315" s="2" t="s">
        <v>12</v>
      </c>
      <c r="G315" s="2" t="s">
        <v>12</v>
      </c>
      <c r="H315" s="3">
        <v>2004</v>
      </c>
      <c r="I315" s="3">
        <v>2004</v>
      </c>
      <c r="J315" s="3">
        <v>6614</v>
      </c>
      <c r="K315" s="3">
        <v>310.83999999999997</v>
      </c>
      <c r="L315" s="3">
        <v>1.05</v>
      </c>
      <c r="M315" s="3">
        <v>8</v>
      </c>
      <c r="N315" s="3">
        <v>4</v>
      </c>
      <c r="O315" s="3">
        <v>8</v>
      </c>
      <c r="P315" s="3">
        <v>6</v>
      </c>
      <c r="Q315" s="2" t="s">
        <v>235</v>
      </c>
      <c r="R315" s="2" t="s">
        <v>33</v>
      </c>
      <c r="S315" s="2" t="s">
        <v>212</v>
      </c>
      <c r="T315" s="2" t="s">
        <v>74</v>
      </c>
      <c r="U315" s="2" t="s">
        <v>8</v>
      </c>
      <c r="V315" s="4" t="s">
        <v>18</v>
      </c>
    </row>
    <row r="316" spans="2:22" x14ac:dyDescent="0.3">
      <c r="B316" s="5" t="s">
        <v>569</v>
      </c>
      <c r="C316" s="7" t="s">
        <v>569</v>
      </c>
      <c r="D316" s="5" t="s">
        <v>307</v>
      </c>
      <c r="E316" s="7" t="s">
        <v>688</v>
      </c>
      <c r="F316" s="6" t="s">
        <v>24</v>
      </c>
      <c r="G316" s="6" t="s">
        <v>24</v>
      </c>
      <c r="H316" s="7">
        <v>1982</v>
      </c>
      <c r="I316" s="7">
        <v>1982</v>
      </c>
      <c r="J316" s="7">
        <v>9872</v>
      </c>
      <c r="K316" s="7">
        <v>260.17</v>
      </c>
      <c r="L316" s="7">
        <v>-2.39</v>
      </c>
      <c r="M316" s="7">
        <v>9</v>
      </c>
      <c r="N316" s="7">
        <v>3</v>
      </c>
      <c r="O316" s="7">
        <v>7</v>
      </c>
      <c r="P316" s="7">
        <v>3</v>
      </c>
      <c r="Q316" s="6" t="s">
        <v>60</v>
      </c>
      <c r="R316" s="6" t="s">
        <v>26</v>
      </c>
      <c r="S316" s="6" t="s">
        <v>132</v>
      </c>
      <c r="T316" s="6" t="s">
        <v>16</v>
      </c>
      <c r="U316" s="6" t="s">
        <v>29</v>
      </c>
      <c r="V316" s="8" t="s">
        <v>18</v>
      </c>
    </row>
    <row r="317" spans="2:22" x14ac:dyDescent="0.3">
      <c r="B317" s="21" t="s">
        <v>570</v>
      </c>
      <c r="C317" s="22" t="s">
        <v>570</v>
      </c>
      <c r="D317" s="21" t="s">
        <v>571</v>
      </c>
      <c r="E317" s="22" t="s">
        <v>772</v>
      </c>
      <c r="F317" s="23" t="s">
        <v>3</v>
      </c>
      <c r="G317" s="23" t="s">
        <v>3</v>
      </c>
      <c r="H317" s="22">
        <v>20050</v>
      </c>
      <c r="I317" s="22">
        <v>2005</v>
      </c>
      <c r="J317" s="22">
        <v>6692</v>
      </c>
      <c r="K317" s="22">
        <v>297.18</v>
      </c>
      <c r="L317" s="22">
        <v>23.9</v>
      </c>
      <c r="M317" s="22">
        <v>8</v>
      </c>
      <c r="N317" s="22">
        <v>2</v>
      </c>
      <c r="O317" s="22">
        <v>8</v>
      </c>
      <c r="P317" s="22">
        <v>7</v>
      </c>
      <c r="Q317" s="23" t="s">
        <v>4</v>
      </c>
      <c r="R317" s="23" t="s">
        <v>77</v>
      </c>
      <c r="S317" s="23" t="s">
        <v>173</v>
      </c>
      <c r="T317" s="23" t="s">
        <v>78</v>
      </c>
      <c r="U317" s="23" t="s">
        <v>42</v>
      </c>
      <c r="V317" s="24" t="s">
        <v>18</v>
      </c>
    </row>
  </sheetData>
  <mergeCells count="7">
    <mergeCell ref="B2:D2"/>
    <mergeCell ref="J13:V13"/>
    <mergeCell ref="B11:C11"/>
    <mergeCell ref="B13:C13"/>
    <mergeCell ref="D13:E13"/>
    <mergeCell ref="F13:G13"/>
    <mergeCell ref="H13:I13"/>
  </mergeCells>
  <phoneticPr fontId="18" type="noConversion"/>
  <conditionalFormatting sqref="B15:B317">
    <cfRule type="expression" dxfId="23" priority="7">
      <formula>LEFT(B15,1)&lt;&gt;"C"</formula>
    </cfRule>
  </conditionalFormatting>
  <conditionalFormatting sqref="C15:C317">
    <cfRule type="duplicateValues" dxfId="22" priority="2"/>
    <cfRule type="duplicateValues" dxfId="21" priority="3"/>
    <cfRule type="duplicateValues" dxfId="20" priority="4"/>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B3E6-01CA-4442-A37C-ACCB2CC409EC}">
  <dimension ref="A1:BJ103"/>
  <sheetViews>
    <sheetView tabSelected="1" zoomScale="50" zoomScaleNormal="50" workbookViewId="0"/>
  </sheetViews>
  <sheetFormatPr defaultRowHeight="14.4" x14ac:dyDescent="0.3"/>
  <cols>
    <col min="51" max="51" width="25.88671875" bestFit="1" customWidth="1"/>
    <col min="52" max="52" width="15.44140625" bestFit="1" customWidth="1"/>
    <col min="53" max="53" width="19.6640625" bestFit="1" customWidth="1"/>
    <col min="57" max="57" width="15.44140625" bestFit="1" customWidth="1"/>
    <col min="58" max="58" width="22.77734375" bestFit="1" customWidth="1"/>
    <col min="59" max="59" width="23.88671875" bestFit="1" customWidth="1"/>
    <col min="60" max="61" width="19.6640625" bestFit="1" customWidth="1"/>
    <col min="63" max="16384" width="8.88671875" style="9"/>
  </cols>
  <sheetData>
    <row r="1" spans="1:47"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row>
    <row r="2" spans="1:47"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row>
    <row r="3" spans="1:47"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spans="1:47"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row>
    <row r="6" spans="1:47"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spans="1:47"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47"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row>
    <row r="9" spans="1:47"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row>
    <row r="10" spans="1:47"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row>
    <row r="11" spans="1:47"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row>
    <row r="12" spans="1:47"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row>
    <row r="13" spans="1:47"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row>
    <row r="14" spans="1:47"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row>
    <row r="15" spans="1:47"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row>
    <row r="16" spans="1:47"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row>
    <row r="17" spans="1:47"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row>
    <row r="18" spans="1:47"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row>
    <row r="19" spans="1:47"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row>
    <row r="20" spans="1:47"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row>
    <row r="21" spans="1:47"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row>
    <row r="22" spans="1:47"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row>
    <row r="23" spans="1:47"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row>
    <row r="24" spans="1:47"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row>
    <row r="25" spans="1:47"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row>
    <row r="26" spans="1:47"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row>
    <row r="27" spans="1:47"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row>
    <row r="28" spans="1:47"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row>
    <row r="29" spans="1:47"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row>
    <row r="30" spans="1:47"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row>
    <row r="31" spans="1:47"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row>
    <row r="32" spans="1:47"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row>
    <row r="33" spans="1:47"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row>
    <row r="34" spans="1:47"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row>
    <row r="35" spans="1:47"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row>
    <row r="36" spans="1:47"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row>
    <row r="37" spans="1:47"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row>
    <row r="38" spans="1:47"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row>
    <row r="39" spans="1:47"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row>
    <row r="40" spans="1:47"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row>
    <row r="41" spans="1:47"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row>
    <row r="42" spans="1:47"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row>
    <row r="43" spans="1:47"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row>
    <row r="44" spans="1:47"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row>
    <row r="45" spans="1:47"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row>
    <row r="46" spans="1:47"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row>
    <row r="47" spans="1:47"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row>
    <row r="48" spans="1:47"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row>
    <row r="49" spans="1:47"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row>
    <row r="50" spans="1:47"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row>
    <row r="51" spans="1:47"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row>
    <row r="52" spans="1:47"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row>
    <row r="56" spans="1:47"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row>
    <row r="57" spans="1:47"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row>
    <row r="58" spans="1:47"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row>
    <row r="62" spans="1:47"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row>
    <row r="63" spans="1:47"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row>
    <row r="64" spans="1:47"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row>
    <row r="65" spans="1:59"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row>
    <row r="66" spans="1:59"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row>
    <row r="67" spans="1:59"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row>
    <row r="68" spans="1:59"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row>
    <row r="69" spans="1:59"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row>
    <row r="70" spans="1:59"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row>
    <row r="71" spans="1:59"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BE71" t="s">
        <v>816</v>
      </c>
    </row>
    <row r="72" spans="1:59" x14ac:dyDescent="0.3">
      <c r="BE72" s="25">
        <v>300</v>
      </c>
      <c r="BF72">
        <f>IFERROR(GETPIVOTDATA("[Measures].[Count of company_id]",$BE$71),"0")</f>
        <v>300</v>
      </c>
      <c r="BG72">
        <f>(GETPIVOTDATA("[Measures].[Count of company_id]",$BE$88,"[swot_analysis_dataset].[swot_rating]","[swot_analysis_dataset].[swot_rating].&amp;[Strong]")/BF72)*100</f>
        <v>51.333333333333329</v>
      </c>
    </row>
    <row r="73" spans="1:59" x14ac:dyDescent="0.3">
      <c r="BE73" t="s">
        <v>814</v>
      </c>
      <c r="BG73" s="28">
        <f>IFERROR(ROUNDUP(BG72,0),"0")</f>
        <v>52</v>
      </c>
    </row>
    <row r="74" spans="1:59" x14ac:dyDescent="0.3">
      <c r="BE74" s="25">
        <v>10.146166666666666</v>
      </c>
      <c r="BF74" s="12">
        <f>IFERROR(GETPIVOTDATA("[Measures].[Average of profitability_margin]",$BE$73),"0")</f>
        <v>10.146166666666666</v>
      </c>
    </row>
    <row r="75" spans="1:59" x14ac:dyDescent="0.3">
      <c r="BE75" t="s">
        <v>818</v>
      </c>
    </row>
    <row r="76" spans="1:59" x14ac:dyDescent="0.3">
      <c r="BE76" s="25">
        <v>239.33919999999998</v>
      </c>
      <c r="BF76" s="29">
        <f>IFERROR(GETPIVOTDATA("[Measures].[Average of revenue_millions]",$BE$75),"0")</f>
        <v>239.33919999999998</v>
      </c>
    </row>
    <row r="79" spans="1:59" x14ac:dyDescent="0.3">
      <c r="BE79" s="26" t="s">
        <v>817</v>
      </c>
      <c r="BF79" t="s">
        <v>834</v>
      </c>
      <c r="BG79" t="s">
        <v>835</v>
      </c>
    </row>
    <row r="80" spans="1:59" x14ac:dyDescent="0.3">
      <c r="BE80" s="10" t="s">
        <v>3</v>
      </c>
      <c r="BF80" s="27">
        <v>245.53100000000001</v>
      </c>
      <c r="BG80" s="27">
        <v>10.262333333333334</v>
      </c>
    </row>
    <row r="81" spans="57:59" x14ac:dyDescent="0.3">
      <c r="BE81" s="10" t="s">
        <v>48</v>
      </c>
      <c r="BF81" s="27">
        <v>244.47596491228069</v>
      </c>
      <c r="BG81" s="27">
        <v>9.4438596491228068</v>
      </c>
    </row>
    <row r="82" spans="57:59" x14ac:dyDescent="0.3">
      <c r="BE82" s="10" t="s">
        <v>24</v>
      </c>
      <c r="BF82" s="27">
        <v>240.94178571428571</v>
      </c>
      <c r="BG82" s="27">
        <v>9.8258928571428577</v>
      </c>
    </row>
    <row r="83" spans="57:59" x14ac:dyDescent="0.3">
      <c r="BE83" s="10" t="s">
        <v>81</v>
      </c>
      <c r="BF83" s="27">
        <v>237.32209677419354</v>
      </c>
      <c r="BG83" s="27">
        <v>9.7916129032258077</v>
      </c>
    </row>
    <row r="84" spans="57:59" x14ac:dyDescent="0.3">
      <c r="BE84" s="10" t="s">
        <v>12</v>
      </c>
      <c r="BF84" s="27">
        <v>229.66246153846154</v>
      </c>
      <c r="BG84" s="27">
        <v>11.268923076923077</v>
      </c>
    </row>
    <row r="85" spans="57:59" x14ac:dyDescent="0.3">
      <c r="BE85" s="10" t="s">
        <v>813</v>
      </c>
      <c r="BF85" s="25">
        <v>239.33919999999998</v>
      </c>
      <c r="BG85" s="25">
        <v>10.146166666666666</v>
      </c>
    </row>
    <row r="88" spans="57:59" x14ac:dyDescent="0.3">
      <c r="BE88" s="26" t="s">
        <v>817</v>
      </c>
      <c r="BF88" t="s">
        <v>816</v>
      </c>
    </row>
    <row r="89" spans="57:59" x14ac:dyDescent="0.3">
      <c r="BE89" s="10" t="s">
        <v>18</v>
      </c>
      <c r="BF89" s="25">
        <v>154</v>
      </c>
    </row>
    <row r="90" spans="57:59" x14ac:dyDescent="0.3">
      <c r="BE90" s="10" t="s">
        <v>36</v>
      </c>
      <c r="BF90" s="25">
        <v>88</v>
      </c>
    </row>
    <row r="91" spans="57:59" x14ac:dyDescent="0.3">
      <c r="BE91" s="10" t="s">
        <v>9</v>
      </c>
      <c r="BF91" s="25">
        <v>46</v>
      </c>
    </row>
    <row r="92" spans="57:59" x14ac:dyDescent="0.3">
      <c r="BE92" s="10" t="s">
        <v>96</v>
      </c>
      <c r="BF92" s="25">
        <v>12</v>
      </c>
    </row>
    <row r="93" spans="57:59" x14ac:dyDescent="0.3">
      <c r="BE93" s="10" t="s">
        <v>813</v>
      </c>
      <c r="BF93" s="25">
        <v>300</v>
      </c>
    </row>
    <row r="98" spans="57:58" x14ac:dyDescent="0.3">
      <c r="BE98" s="26" t="s">
        <v>817</v>
      </c>
      <c r="BF98" t="s">
        <v>816</v>
      </c>
    </row>
    <row r="99" spans="57:58" x14ac:dyDescent="0.3">
      <c r="BE99" s="10" t="s">
        <v>17</v>
      </c>
      <c r="BF99" s="25">
        <v>83</v>
      </c>
    </row>
    <row r="100" spans="57:58" x14ac:dyDescent="0.3">
      <c r="BE100" s="10" t="s">
        <v>8</v>
      </c>
      <c r="BF100" s="25">
        <v>75</v>
      </c>
    </row>
    <row r="101" spans="57:58" x14ac:dyDescent="0.3">
      <c r="BE101" s="10" t="s">
        <v>42</v>
      </c>
      <c r="BF101" s="25">
        <v>71</v>
      </c>
    </row>
    <row r="102" spans="57:58" x14ac:dyDescent="0.3">
      <c r="BE102" s="10" t="s">
        <v>29</v>
      </c>
      <c r="BF102" s="25">
        <v>71</v>
      </c>
    </row>
    <row r="103" spans="57:58" x14ac:dyDescent="0.3">
      <c r="BE103" s="10" t="s">
        <v>813</v>
      </c>
      <c r="BF103" s="25">
        <v>300</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EF31-06CC-4C41-87A7-571A421B9064}">
  <dimension ref="A1:BJ111"/>
  <sheetViews>
    <sheetView zoomScale="50" zoomScaleNormal="50" workbookViewId="0">
      <selection activeCell="N69" sqref="N69"/>
    </sheetView>
  </sheetViews>
  <sheetFormatPr defaultRowHeight="14.4" x14ac:dyDescent="0.3"/>
  <cols>
    <col min="51" max="51" width="25.88671875" bestFit="1" customWidth="1"/>
    <col min="52" max="52" width="15.44140625" bestFit="1" customWidth="1"/>
    <col min="53" max="53" width="19.6640625" bestFit="1" customWidth="1"/>
    <col min="57" max="57" width="15.44140625" bestFit="1" customWidth="1"/>
    <col min="58" max="58" width="25.88671875" bestFit="1" customWidth="1"/>
    <col min="59" max="59" width="27.6640625" bestFit="1" customWidth="1"/>
    <col min="60" max="61" width="19.6640625" bestFit="1" customWidth="1"/>
    <col min="63" max="16384" width="8.88671875" style="9"/>
  </cols>
  <sheetData>
    <row r="1" spans="1:47"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row>
    <row r="2" spans="1:47"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row>
    <row r="3" spans="1:47"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spans="1:47"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row>
    <row r="6" spans="1:47"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spans="1:47"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47"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row>
    <row r="9" spans="1:47"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row>
    <row r="10" spans="1:47"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row>
    <row r="11" spans="1:47"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row>
    <row r="12" spans="1:47"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row>
    <row r="13" spans="1:47"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row>
    <row r="14" spans="1:47"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row>
    <row r="15" spans="1:47"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row>
    <row r="16" spans="1:47"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row>
    <row r="17" spans="1:47"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row>
    <row r="18" spans="1:47"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row>
    <row r="19" spans="1:47"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row>
    <row r="20" spans="1:47"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row>
    <row r="21" spans="1:47"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row>
    <row r="22" spans="1:47"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row>
    <row r="23" spans="1:47"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row>
    <row r="24" spans="1:47"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row>
    <row r="25" spans="1:47"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row>
    <row r="26" spans="1:47"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row>
    <row r="27" spans="1:47"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row>
    <row r="28" spans="1:47"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row>
    <row r="29" spans="1:47"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row>
    <row r="30" spans="1:47"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row>
    <row r="31" spans="1:47"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row>
    <row r="32" spans="1:47"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row>
    <row r="33" spans="1:47"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row>
    <row r="34" spans="1:47"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row>
    <row r="35" spans="1:47"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row>
    <row r="36" spans="1:47"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row>
    <row r="37" spans="1:47"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row>
    <row r="38" spans="1:47"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row>
    <row r="39" spans="1:47"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row>
    <row r="40" spans="1:47"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row>
    <row r="41" spans="1:47"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row>
    <row r="42" spans="1:47"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row>
    <row r="43" spans="1:47"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row>
    <row r="44" spans="1:47"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row>
    <row r="45" spans="1:47"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row>
    <row r="46" spans="1:47"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row>
    <row r="47" spans="1:47"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row>
    <row r="48" spans="1:47"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row>
    <row r="49" spans="1:47"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row>
    <row r="50" spans="1:47"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row>
    <row r="51" spans="1:47"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row>
    <row r="52" spans="1:47"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row>
    <row r="56" spans="1:47"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row>
    <row r="57" spans="1:47"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row>
    <row r="58" spans="1:47"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row>
    <row r="62" spans="1:47"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row>
    <row r="63" spans="1:47"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row>
    <row r="64" spans="1:47"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row>
    <row r="65" spans="1:59"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row>
    <row r="66" spans="1:59"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row>
    <row r="67" spans="1:59"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row>
    <row r="68" spans="1:59"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row>
    <row r="69" spans="1:59"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row>
    <row r="70" spans="1:59"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row>
    <row r="71" spans="1:59"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BE71" t="s">
        <v>816</v>
      </c>
    </row>
    <row r="72" spans="1:59" x14ac:dyDescent="0.3">
      <c r="BE72" s="25">
        <v>300</v>
      </c>
      <c r="BF72">
        <f>GETPIVOTDATA("[Measures].[Count of company_id]",$BE$71)</f>
        <v>300</v>
      </c>
      <c r="BG72">
        <f>(GETPIVOTDATA("[Measures].[Count of company_id]",$BE$88,"[swot_analysis_dataset].[swot_rating]","[swot_analysis_dataset].[swot_rating].&amp;[Strong]")/BF72)*100</f>
        <v>51.333333333333329</v>
      </c>
    </row>
    <row r="73" spans="1:59" x14ac:dyDescent="0.3">
      <c r="BE73" t="s">
        <v>814</v>
      </c>
      <c r="BG73" s="28">
        <f>ROUNDUP(BG72,0)</f>
        <v>52</v>
      </c>
    </row>
    <row r="74" spans="1:59" x14ac:dyDescent="0.3">
      <c r="BE74" s="25">
        <v>10.146166666666666</v>
      </c>
      <c r="BF74" s="12">
        <f>GETPIVOTDATA("[Measures].[Average of profitability_margin]",$BE$73)</f>
        <v>10.146166666666666</v>
      </c>
    </row>
    <row r="75" spans="1:59" x14ac:dyDescent="0.3">
      <c r="BE75" t="s">
        <v>818</v>
      </c>
    </row>
    <row r="76" spans="1:59" x14ac:dyDescent="0.3">
      <c r="BE76" s="25">
        <v>239.33919999999998</v>
      </c>
      <c r="BF76" s="29">
        <f>GETPIVOTDATA("[Measures].[Average of revenue_millions]",$BE$75)</f>
        <v>239.33919999999998</v>
      </c>
    </row>
    <row r="79" spans="1:59" x14ac:dyDescent="0.3">
      <c r="BE79" s="26" t="s">
        <v>817</v>
      </c>
      <c r="BF79" t="s">
        <v>814</v>
      </c>
    </row>
    <row r="80" spans="1:59" x14ac:dyDescent="0.3">
      <c r="BE80" s="10" t="s">
        <v>12</v>
      </c>
      <c r="BF80" s="27">
        <v>11.268923076923077</v>
      </c>
    </row>
    <row r="81" spans="57:58" x14ac:dyDescent="0.3">
      <c r="BE81" s="10" t="s">
        <v>3</v>
      </c>
      <c r="BF81" s="27">
        <v>10.262333333333334</v>
      </c>
    </row>
    <row r="82" spans="57:58" x14ac:dyDescent="0.3">
      <c r="BE82" s="10" t="s">
        <v>24</v>
      </c>
      <c r="BF82" s="27">
        <v>9.8258928571428577</v>
      </c>
    </row>
    <row r="83" spans="57:58" x14ac:dyDescent="0.3">
      <c r="BE83" s="10" t="s">
        <v>81</v>
      </c>
      <c r="BF83" s="27">
        <v>9.7916129032258077</v>
      </c>
    </row>
    <row r="84" spans="57:58" x14ac:dyDescent="0.3">
      <c r="BE84" s="10" t="s">
        <v>48</v>
      </c>
      <c r="BF84" s="27">
        <v>9.4438596491228068</v>
      </c>
    </row>
    <row r="85" spans="57:58" x14ac:dyDescent="0.3">
      <c r="BE85" s="10" t="s">
        <v>813</v>
      </c>
      <c r="BF85" s="27">
        <v>10.146166666666666</v>
      </c>
    </row>
    <row r="88" spans="57:58" x14ac:dyDescent="0.3">
      <c r="BE88" s="26" t="s">
        <v>817</v>
      </c>
      <c r="BF88" t="s">
        <v>816</v>
      </c>
    </row>
    <row r="89" spans="57:58" x14ac:dyDescent="0.3">
      <c r="BE89" s="10" t="s">
        <v>18</v>
      </c>
      <c r="BF89" s="25">
        <v>154</v>
      </c>
    </row>
    <row r="90" spans="57:58" x14ac:dyDescent="0.3">
      <c r="BE90" s="10" t="s">
        <v>36</v>
      </c>
      <c r="BF90" s="25">
        <v>88</v>
      </c>
    </row>
    <row r="91" spans="57:58" x14ac:dyDescent="0.3">
      <c r="BE91" s="10" t="s">
        <v>9</v>
      </c>
      <c r="BF91" s="25">
        <v>46</v>
      </c>
    </row>
    <row r="92" spans="57:58" x14ac:dyDescent="0.3">
      <c r="BE92" s="10" t="s">
        <v>96</v>
      </c>
      <c r="BF92" s="25">
        <v>12</v>
      </c>
    </row>
    <row r="93" spans="57:58" x14ac:dyDescent="0.3">
      <c r="BE93" s="10" t="s">
        <v>813</v>
      </c>
      <c r="BF93" s="25">
        <v>300</v>
      </c>
    </row>
    <row r="98" spans="57:58" x14ac:dyDescent="0.3">
      <c r="BE98" s="26" t="s">
        <v>817</v>
      </c>
      <c r="BF98" t="s">
        <v>816</v>
      </c>
    </row>
    <row r="99" spans="57:58" x14ac:dyDescent="0.3">
      <c r="BE99" s="10" t="s">
        <v>17</v>
      </c>
      <c r="BF99" s="25">
        <v>83</v>
      </c>
    </row>
    <row r="100" spans="57:58" x14ac:dyDescent="0.3">
      <c r="BE100" s="10" t="s">
        <v>8</v>
      </c>
      <c r="BF100" s="25">
        <v>75</v>
      </c>
    </row>
    <row r="101" spans="57:58" x14ac:dyDescent="0.3">
      <c r="BE101" s="10" t="s">
        <v>42</v>
      </c>
      <c r="BF101" s="25">
        <v>71</v>
      </c>
    </row>
    <row r="102" spans="57:58" x14ac:dyDescent="0.3">
      <c r="BE102" s="10" t="s">
        <v>29</v>
      </c>
      <c r="BF102" s="25">
        <v>71</v>
      </c>
    </row>
    <row r="103" spans="57:58" x14ac:dyDescent="0.3">
      <c r="BE103" s="10" t="s">
        <v>813</v>
      </c>
      <c r="BF103" s="25">
        <v>300</v>
      </c>
    </row>
    <row r="105" spans="57:58" x14ac:dyDescent="0.3">
      <c r="BE105" s="26" t="s">
        <v>817</v>
      </c>
      <c r="BF105" t="s">
        <v>818</v>
      </c>
    </row>
    <row r="106" spans="57:58" x14ac:dyDescent="0.3">
      <c r="BE106" s="10" t="s">
        <v>3</v>
      </c>
      <c r="BF106" s="27">
        <v>245.53100000000001</v>
      </c>
    </row>
    <row r="107" spans="57:58" x14ac:dyDescent="0.3">
      <c r="BE107" s="10" t="s">
        <v>48</v>
      </c>
      <c r="BF107" s="27">
        <v>244.47596491228069</v>
      </c>
    </row>
    <row r="108" spans="57:58" x14ac:dyDescent="0.3">
      <c r="BE108" s="10" t="s">
        <v>24</v>
      </c>
      <c r="BF108" s="27">
        <v>240.94178571428571</v>
      </c>
    </row>
    <row r="109" spans="57:58" x14ac:dyDescent="0.3">
      <c r="BE109" s="10" t="s">
        <v>81</v>
      </c>
      <c r="BF109" s="27">
        <v>237.32209677419354</v>
      </c>
    </row>
    <row r="110" spans="57:58" x14ac:dyDescent="0.3">
      <c r="BE110" s="10" t="s">
        <v>12</v>
      </c>
      <c r="BF110" s="27">
        <v>229.66246153846154</v>
      </c>
    </row>
    <row r="111" spans="57:58" x14ac:dyDescent="0.3">
      <c r="BE111" s="10" t="s">
        <v>813</v>
      </c>
      <c r="BF111" s="27">
        <v>239.33919999999998</v>
      </c>
    </row>
  </sheetData>
  <pageMargins left="0.7" right="0.7" top="0.75" bottom="0.75" header="0.3" footer="0.3"/>
  <pageSetup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B29D6-4328-4614-959E-DEBB2618B64A}">
  <dimension ref="A1:CK171"/>
  <sheetViews>
    <sheetView zoomScale="50" zoomScaleNormal="50" workbookViewId="0"/>
  </sheetViews>
  <sheetFormatPr defaultRowHeight="14.4" x14ac:dyDescent="0.3"/>
  <cols>
    <col min="49" max="49" width="19.6640625" bestFit="1" customWidth="1"/>
    <col min="50" max="50" width="18.109375" bestFit="1" customWidth="1"/>
    <col min="51" max="51" width="7.6640625" bestFit="1" customWidth="1"/>
    <col min="52" max="52" width="19.6640625" bestFit="1" customWidth="1"/>
    <col min="53" max="53" width="18.109375" bestFit="1" customWidth="1"/>
    <col min="54" max="54" width="8.109375" bestFit="1" customWidth="1"/>
    <col min="55" max="55" width="7.6640625" bestFit="1" customWidth="1"/>
    <col min="56" max="56" width="7" bestFit="1" customWidth="1"/>
    <col min="57" max="57" width="11" bestFit="1" customWidth="1"/>
    <col min="58" max="58" width="23.88671875" bestFit="1" customWidth="1"/>
    <col min="59" max="59" width="19.6640625" customWidth="1"/>
    <col min="60" max="60" width="8.33203125" bestFit="1" customWidth="1"/>
    <col min="61" max="61" width="9.6640625" bestFit="1" customWidth="1"/>
    <col min="62" max="62" width="6.5546875" bestFit="1" customWidth="1"/>
    <col min="79" max="79" width="19.6640625" bestFit="1" customWidth="1"/>
    <col min="80" max="80" width="18.109375" bestFit="1" customWidth="1"/>
    <col min="81" max="81" width="7.6640625" bestFit="1" customWidth="1"/>
    <col min="82" max="82" width="8.109375" bestFit="1" customWidth="1"/>
    <col min="83" max="83" width="6.77734375" bestFit="1" customWidth="1"/>
    <col min="84" max="84" width="11" bestFit="1" customWidth="1"/>
    <col min="85" max="85" width="23.88671875" bestFit="1" customWidth="1"/>
    <col min="86" max="86" width="19.6640625" bestFit="1" customWidth="1"/>
    <col min="88" max="88" width="24.5546875" bestFit="1" customWidth="1"/>
    <col min="89" max="89" width="19.6640625" bestFit="1" customWidth="1"/>
  </cols>
  <sheetData>
    <row r="1" spans="1:47"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row>
    <row r="2" spans="1:47"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row>
    <row r="3" spans="1:47"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spans="1:47"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row>
    <row r="6" spans="1:47" s="11" customFormat="1" x14ac:dyDescent="0.3"/>
    <row r="7" spans="1:47" s="11" customFormat="1" x14ac:dyDescent="0.3"/>
    <row r="8" spans="1:47"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row>
    <row r="9" spans="1:47"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row>
    <row r="10" spans="1:47"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row>
    <row r="11" spans="1:47"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row>
    <row r="12" spans="1:47"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row>
    <row r="13" spans="1:47"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row>
    <row r="14" spans="1:47"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row>
    <row r="15" spans="1:47"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row>
    <row r="16" spans="1:47"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row>
    <row r="17" spans="1:47"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row>
    <row r="18" spans="1:47"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row>
    <row r="19" spans="1:47"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row>
    <row r="20" spans="1:47"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row>
    <row r="21" spans="1:47"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row>
    <row r="22" spans="1:47"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row>
    <row r="23" spans="1:47"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row>
    <row r="24" spans="1:47"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row>
    <row r="25" spans="1:47"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row>
    <row r="26" spans="1:47"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row>
    <row r="27" spans="1:47"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row>
    <row r="28" spans="1:47"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row>
    <row r="29" spans="1:47"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row>
    <row r="30" spans="1:47"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row>
    <row r="31" spans="1:47"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row>
    <row r="32" spans="1:47"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row>
    <row r="33" spans="1:47"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row>
    <row r="34" spans="1:47"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row>
    <row r="35" spans="1:47"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row>
    <row r="36" spans="1:47"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row>
    <row r="37" spans="1:47"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row>
    <row r="38" spans="1:47"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row>
    <row r="39" spans="1:47"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row>
    <row r="40" spans="1:47"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row>
    <row r="41" spans="1:47"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row>
    <row r="42" spans="1:47"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row>
    <row r="43" spans="1:47"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row>
    <row r="44" spans="1:47"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row>
    <row r="45" spans="1:47"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row>
    <row r="46" spans="1:47"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row>
    <row r="47" spans="1:47"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row>
    <row r="48" spans="1:47"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row>
    <row r="49" spans="1:47"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row>
    <row r="50" spans="1:47"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row>
    <row r="51" spans="1:47"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row>
    <row r="52" spans="1:47"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row>
    <row r="56" spans="1:47"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row>
    <row r="57" spans="1:47"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row>
    <row r="58" spans="1:47"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row>
    <row r="62" spans="1:47"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row>
    <row r="63" spans="1:47"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row>
    <row r="64" spans="1:47"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row>
    <row r="65" spans="1:63"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row>
    <row r="66" spans="1:63"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row>
    <row r="67" spans="1:63"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row>
    <row r="68" spans="1:63"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row>
    <row r="69" spans="1:63"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row>
    <row r="73" spans="1:63" x14ac:dyDescent="0.3">
      <c r="AZ73" s="26" t="s">
        <v>817</v>
      </c>
      <c r="BA73" t="s">
        <v>819</v>
      </c>
      <c r="BB73" t="s">
        <v>820</v>
      </c>
      <c r="BC73" t="s">
        <v>821</v>
      </c>
      <c r="BD73" t="s">
        <v>822</v>
      </c>
      <c r="BH73" t="str">
        <f>BA73</f>
        <v>Strength</v>
      </c>
      <c r="BI73" t="str">
        <f>BB73</f>
        <v>Weakness</v>
      </c>
      <c r="BJ73" t="str">
        <f>BC73</f>
        <v>Opportunity</v>
      </c>
      <c r="BK73" t="str">
        <f>BD73</f>
        <v>Threat</v>
      </c>
    </row>
    <row r="74" spans="1:63" x14ac:dyDescent="0.3">
      <c r="AZ74" s="10" t="s">
        <v>12</v>
      </c>
      <c r="BA74" s="30">
        <v>6.6</v>
      </c>
      <c r="BB74" s="30">
        <v>4.4153846153846157</v>
      </c>
      <c r="BC74" s="30">
        <v>5.615384615384615</v>
      </c>
      <c r="BD74" s="30">
        <v>4.2615384615384615</v>
      </c>
      <c r="BG74" t="str">
        <f>AZ74</f>
        <v>Technology</v>
      </c>
      <c r="BH74" s="30">
        <f>GETPIVOTDATA("[Measures].[Average of strength_score]",$AZ$73,"[swot_analysis_dataset].[industry]","[swot_analysis_dataset].[industry].&amp;[Technology]")</f>
        <v>6.6</v>
      </c>
      <c r="BI74" s="30">
        <f>GETPIVOTDATA("[Measures].[Average of weakness_score]",$AZ$73,"[swot_analysis_dataset].[industry]","[swot_analysis_dataset].[industry].&amp;[Technology]")</f>
        <v>4.4153846153846157</v>
      </c>
      <c r="BJ74" s="30">
        <f>GETPIVOTDATA("[Measures].[Average of opportunity_score]",$AZ$73,"[swot_analysis_dataset].[industry]","[swot_analysis_dataset].[industry].&amp;[Technology]")</f>
        <v>5.615384615384615</v>
      </c>
      <c r="BK74" s="30">
        <f>GETPIVOTDATA("[Measures].[Average of threat_score]",$AZ$73,"[swot_analysis_dataset].[industry]","[swot_analysis_dataset].[industry].&amp;[Technology]")</f>
        <v>4.2615384615384615</v>
      </c>
    </row>
    <row r="75" spans="1:63" x14ac:dyDescent="0.3">
      <c r="AZ75" s="10" t="s">
        <v>48</v>
      </c>
      <c r="BA75" s="30">
        <v>6.5614035087719298</v>
      </c>
      <c r="BB75" s="30">
        <v>4.333333333333333</v>
      </c>
      <c r="BC75" s="30">
        <v>5.7368421052631575</v>
      </c>
      <c r="BD75" s="30">
        <v>4.1754385964912277</v>
      </c>
      <c r="BG75" t="str">
        <f>AZ75</f>
        <v>Finance</v>
      </c>
      <c r="BH75" s="30">
        <f>GETPIVOTDATA("[Measures].[Average of strength_score]",$AZ$73,"[swot_analysis_dataset].[industry]","[swot_analysis_dataset].[industry].&amp;[Finance]")</f>
        <v>6.5614035087719298</v>
      </c>
      <c r="BI75" s="30">
        <f>GETPIVOTDATA("[Measures].[Average of weakness_score]",$AZ$73,"[swot_analysis_dataset].[industry]","[swot_analysis_dataset].[industry].&amp;[Finance]")</f>
        <v>4.333333333333333</v>
      </c>
      <c r="BJ75" s="30">
        <f>GETPIVOTDATA("[Measures].[Average of opportunity_score]",$AZ$73,"[swot_analysis_dataset].[industry]","[swot_analysis_dataset].[industry].&amp;[Finance]")</f>
        <v>5.7368421052631575</v>
      </c>
      <c r="BK75" s="30">
        <f>GETPIVOTDATA("[Measures].[Average of threat_score]",$AZ$73,"[swot_analysis_dataset].[industry]","[swot_analysis_dataset].[industry].&amp;[Finance]")</f>
        <v>4.1754385964912277</v>
      </c>
    </row>
    <row r="76" spans="1:63" x14ac:dyDescent="0.3">
      <c r="AZ76" s="10" t="s">
        <v>81</v>
      </c>
      <c r="BA76" s="30">
        <v>6.532258064516129</v>
      </c>
      <c r="BB76" s="30">
        <v>4.580645161290323</v>
      </c>
      <c r="BC76" s="30">
        <v>5.725806451612903</v>
      </c>
      <c r="BD76" s="30">
        <v>4.306451612903226</v>
      </c>
      <c r="BG76" t="str">
        <f>AZ76</f>
        <v>Manufacturing</v>
      </c>
      <c r="BH76" s="30">
        <f>GETPIVOTDATA("[Measures].[Average of strength_score]",$AZ$73,"[swot_analysis_dataset].[industry]","[swot_analysis_dataset].[industry].&amp;[Manufacturing]")</f>
        <v>6.532258064516129</v>
      </c>
      <c r="BI76" s="30">
        <f>GETPIVOTDATA("[Measures].[Average of weakness_score]",$AZ$73,"[swot_analysis_dataset].[industry]","[swot_analysis_dataset].[industry].&amp;[Manufacturing]")</f>
        <v>4.580645161290323</v>
      </c>
      <c r="BJ76" s="30">
        <f>GETPIVOTDATA("[Measures].[Average of opportunity_score]",$AZ$73,"[swot_analysis_dataset].[industry]","[swot_analysis_dataset].[industry].&amp;[Manufacturing]")</f>
        <v>5.725806451612903</v>
      </c>
      <c r="BK76" s="30">
        <f>GETPIVOTDATA("[Measures].[Average of threat_score]",$AZ$73,"[swot_analysis_dataset].[industry]","[swot_analysis_dataset].[industry].&amp;[Manufacturing]")</f>
        <v>4.306451612903226</v>
      </c>
    </row>
    <row r="77" spans="1:63" x14ac:dyDescent="0.3">
      <c r="AZ77" s="10" t="s">
        <v>3</v>
      </c>
      <c r="BA77" s="30">
        <v>6.4333333333333336</v>
      </c>
      <c r="BB77" s="30">
        <v>4.2166666666666668</v>
      </c>
      <c r="BC77" s="30">
        <v>5.5666666666666664</v>
      </c>
      <c r="BD77" s="30">
        <v>4.666666666666667</v>
      </c>
      <c r="BG77" t="str">
        <f>AZ77</f>
        <v>Retail</v>
      </c>
      <c r="BH77" s="30">
        <f>GETPIVOTDATA("[Measures].[Average of strength_score]",$AZ$73,"[swot_analysis_dataset].[industry]","[swot_analysis_dataset].[industry].&amp;[Retail]")</f>
        <v>6.4333333333333336</v>
      </c>
      <c r="BI77" s="30">
        <f>GETPIVOTDATA("[Measures].[Average of weakness_score]",$AZ$73,"[swot_analysis_dataset].[industry]","[swot_analysis_dataset].[industry].&amp;[Retail]")</f>
        <v>4.2166666666666668</v>
      </c>
      <c r="BJ77" s="30">
        <f>GETPIVOTDATA("[Measures].[Average of opportunity_score]",$AZ$73,"[swot_analysis_dataset].[industry]","[swot_analysis_dataset].[industry].&amp;[Retail]")</f>
        <v>5.5666666666666664</v>
      </c>
      <c r="BK77" s="30">
        <f>GETPIVOTDATA("[Measures].[Average of threat_score]",$AZ$73,"[swot_analysis_dataset].[industry]","[swot_analysis_dataset].[industry].&amp;[Retail]")</f>
        <v>4.666666666666667</v>
      </c>
    </row>
    <row r="78" spans="1:63" x14ac:dyDescent="0.3">
      <c r="AZ78" s="10" t="s">
        <v>24</v>
      </c>
      <c r="BA78" s="30">
        <v>6.3571428571428568</v>
      </c>
      <c r="BB78" s="30">
        <v>4.625</v>
      </c>
      <c r="BC78" s="30">
        <v>5.7857142857142856</v>
      </c>
      <c r="BD78" s="30">
        <v>4.1964285714285712</v>
      </c>
      <c r="BG78" t="str">
        <f>AZ78</f>
        <v>Healthcare</v>
      </c>
      <c r="BH78" s="30">
        <f>GETPIVOTDATA("[Measures].[Average of strength_score]",$AZ$73,"[swot_analysis_dataset].[industry]","[swot_analysis_dataset].[industry].&amp;[Healthcare]")</f>
        <v>6.3571428571428568</v>
      </c>
      <c r="BI78" s="30">
        <f>GETPIVOTDATA("[Measures].[Average of weakness_score]",$AZ$73,"[swot_analysis_dataset].[industry]","[swot_analysis_dataset].[industry].&amp;[Healthcare]")</f>
        <v>4.625</v>
      </c>
      <c r="BJ78" s="30">
        <f>GETPIVOTDATA("[Measures].[Average of opportunity_score]",$AZ$73,"[swot_analysis_dataset].[industry]","[swot_analysis_dataset].[industry].&amp;[Healthcare]")</f>
        <v>5.7857142857142856</v>
      </c>
      <c r="BK78" s="30">
        <f>GETPIVOTDATA("[Measures].[Average of threat_score]",$AZ$73,"[swot_analysis_dataset].[industry]","[swot_analysis_dataset].[industry].&amp;[Healthcare]")</f>
        <v>4.1964285714285712</v>
      </c>
    </row>
    <row r="79" spans="1:63" x14ac:dyDescent="0.3">
      <c r="AZ79" s="10" t="s">
        <v>813</v>
      </c>
      <c r="BA79" s="30">
        <v>6.5</v>
      </c>
      <c r="BB79" s="30">
        <v>4.4333333333333336</v>
      </c>
      <c r="BC79" s="30">
        <v>5.6833333333333336</v>
      </c>
      <c r="BD79" s="30">
        <v>4.3233333333333333</v>
      </c>
    </row>
    <row r="81" spans="52:57" x14ac:dyDescent="0.3">
      <c r="AZ81" s="26" t="s">
        <v>817</v>
      </c>
      <c r="BA81" t="s">
        <v>816</v>
      </c>
    </row>
    <row r="82" spans="52:57" x14ac:dyDescent="0.3">
      <c r="AZ82" s="10" t="s">
        <v>96</v>
      </c>
      <c r="BA82" s="25">
        <v>12</v>
      </c>
    </row>
    <row r="83" spans="52:57" x14ac:dyDescent="0.3">
      <c r="AZ83" s="10" t="s">
        <v>9</v>
      </c>
      <c r="BA83" s="25">
        <v>46</v>
      </c>
    </row>
    <row r="84" spans="52:57" x14ac:dyDescent="0.3">
      <c r="AZ84" s="10" t="s">
        <v>36</v>
      </c>
      <c r="BA84" s="25">
        <v>88</v>
      </c>
    </row>
    <row r="85" spans="52:57" x14ac:dyDescent="0.3">
      <c r="AZ85" s="10" t="s">
        <v>18</v>
      </c>
      <c r="BA85" s="25">
        <v>154</v>
      </c>
    </row>
    <row r="86" spans="52:57" x14ac:dyDescent="0.3">
      <c r="AZ86" s="10" t="s">
        <v>813</v>
      </c>
      <c r="BA86" s="30">
        <v>300</v>
      </c>
      <c r="BC86" s="31">
        <f>IFERROR(GETPIVOTDATA("[Measures].[Count of company_id]",$AZ$81),"0")</f>
        <v>300</v>
      </c>
    </row>
    <row r="88" spans="52:57" x14ac:dyDescent="0.3">
      <c r="AZ88" s="26" t="s">
        <v>816</v>
      </c>
      <c r="BA88" s="26" t="s">
        <v>823</v>
      </c>
    </row>
    <row r="89" spans="52:57" x14ac:dyDescent="0.3">
      <c r="AZ89" s="26" t="s">
        <v>817</v>
      </c>
      <c r="BA89" t="s">
        <v>18</v>
      </c>
      <c r="BB89" t="s">
        <v>36</v>
      </c>
      <c r="BC89" t="s">
        <v>9</v>
      </c>
      <c r="BD89" t="s">
        <v>96</v>
      </c>
      <c r="BE89" t="s">
        <v>813</v>
      </c>
    </row>
    <row r="90" spans="52:57" x14ac:dyDescent="0.3">
      <c r="AZ90" s="10" t="s">
        <v>48</v>
      </c>
      <c r="BA90" s="30">
        <v>29</v>
      </c>
      <c r="BB90" s="30">
        <v>18</v>
      </c>
      <c r="BC90" s="30">
        <v>7</v>
      </c>
      <c r="BD90" s="30">
        <v>3</v>
      </c>
      <c r="BE90" s="30">
        <v>57</v>
      </c>
    </row>
    <row r="91" spans="52:57" x14ac:dyDescent="0.3">
      <c r="AZ91" s="10" t="s">
        <v>24</v>
      </c>
      <c r="BA91" s="30">
        <v>28</v>
      </c>
      <c r="BB91" s="30">
        <v>17</v>
      </c>
      <c r="BC91" s="30">
        <v>9</v>
      </c>
      <c r="BD91" s="30">
        <v>2</v>
      </c>
      <c r="BE91" s="30">
        <v>56</v>
      </c>
    </row>
    <row r="92" spans="52:57" x14ac:dyDescent="0.3">
      <c r="AZ92" s="10" t="s">
        <v>81</v>
      </c>
      <c r="BA92" s="30">
        <v>33</v>
      </c>
      <c r="BB92" s="30">
        <v>18</v>
      </c>
      <c r="BC92" s="30">
        <v>9</v>
      </c>
      <c r="BD92" s="30">
        <v>2</v>
      </c>
      <c r="BE92" s="30">
        <v>62</v>
      </c>
    </row>
    <row r="93" spans="52:57" x14ac:dyDescent="0.3">
      <c r="AZ93" s="10" t="s">
        <v>3</v>
      </c>
      <c r="BA93" s="30">
        <v>28</v>
      </c>
      <c r="BB93" s="30">
        <v>17</v>
      </c>
      <c r="BC93" s="30">
        <v>12</v>
      </c>
      <c r="BD93" s="30">
        <v>3</v>
      </c>
      <c r="BE93" s="30">
        <v>60</v>
      </c>
    </row>
    <row r="94" spans="52:57" x14ac:dyDescent="0.3">
      <c r="AZ94" s="10" t="s">
        <v>12</v>
      </c>
      <c r="BA94" s="30">
        <v>36</v>
      </c>
      <c r="BB94" s="30">
        <v>18</v>
      </c>
      <c r="BC94" s="30">
        <v>9</v>
      </c>
      <c r="BD94" s="30">
        <v>2</v>
      </c>
      <c r="BE94" s="30">
        <v>65</v>
      </c>
    </row>
    <row r="95" spans="52:57" x14ac:dyDescent="0.3">
      <c r="AZ95" s="10" t="s">
        <v>813</v>
      </c>
      <c r="BA95" s="30">
        <v>154</v>
      </c>
      <c r="BB95" s="30">
        <v>88</v>
      </c>
      <c r="BC95" s="30">
        <v>46</v>
      </c>
      <c r="BD95" s="30">
        <v>12</v>
      </c>
      <c r="BE95" s="30">
        <v>300</v>
      </c>
    </row>
    <row r="97" spans="52:59" x14ac:dyDescent="0.3">
      <c r="AZ97" s="26" t="s">
        <v>817</v>
      </c>
      <c r="BA97" t="s">
        <v>816</v>
      </c>
      <c r="BC97" s="26" t="s">
        <v>817</v>
      </c>
      <c r="BD97" t="s">
        <v>816</v>
      </c>
      <c r="BF97" s="26" t="s">
        <v>817</v>
      </c>
      <c r="BG97" t="s">
        <v>816</v>
      </c>
    </row>
    <row r="98" spans="52:59" x14ac:dyDescent="0.3">
      <c r="AZ98" s="10" t="s">
        <v>49</v>
      </c>
      <c r="BA98" s="25">
        <v>12</v>
      </c>
      <c r="BC98" s="10" t="s">
        <v>131</v>
      </c>
      <c r="BD98" s="25">
        <v>16</v>
      </c>
      <c r="BF98" s="10" t="s">
        <v>82</v>
      </c>
      <c r="BG98" s="25">
        <v>15</v>
      </c>
    </row>
    <row r="99" spans="52:59" x14ac:dyDescent="0.3">
      <c r="AZ99" s="10" t="s">
        <v>25</v>
      </c>
      <c r="BA99" s="25">
        <v>13</v>
      </c>
      <c r="BC99" s="10" t="s">
        <v>104</v>
      </c>
      <c r="BD99" s="25">
        <v>16</v>
      </c>
      <c r="BF99" s="10" t="s">
        <v>209</v>
      </c>
      <c r="BG99" s="25">
        <v>15</v>
      </c>
    </row>
    <row r="100" spans="52:59" x14ac:dyDescent="0.3">
      <c r="AZ100" s="10" t="s">
        <v>13</v>
      </c>
      <c r="BA100" s="25">
        <v>14</v>
      </c>
      <c r="BC100" s="10" t="s">
        <v>50</v>
      </c>
      <c r="BD100" s="25">
        <v>16</v>
      </c>
      <c r="BF100" s="10" t="s">
        <v>27</v>
      </c>
      <c r="BG100" s="25">
        <v>16</v>
      </c>
    </row>
    <row r="101" spans="52:59" x14ac:dyDescent="0.3">
      <c r="AZ101" s="10" t="s">
        <v>4</v>
      </c>
      <c r="BA101" s="25">
        <v>14</v>
      </c>
      <c r="BC101" s="10" t="s">
        <v>83</v>
      </c>
      <c r="BD101" s="25">
        <v>16</v>
      </c>
      <c r="BF101" s="10" t="s">
        <v>51</v>
      </c>
      <c r="BG101" s="25">
        <v>16</v>
      </c>
    </row>
    <row r="102" spans="52:59" x14ac:dyDescent="0.3">
      <c r="AZ102" s="10" t="s">
        <v>55</v>
      </c>
      <c r="BA102" s="25">
        <v>17</v>
      </c>
      <c r="BC102" s="10" t="s">
        <v>26</v>
      </c>
      <c r="BD102" s="25">
        <v>18</v>
      </c>
      <c r="BF102" s="10" t="s">
        <v>67</v>
      </c>
      <c r="BG102" s="25">
        <v>16</v>
      </c>
    </row>
    <row r="103" spans="52:59" x14ac:dyDescent="0.3">
      <c r="AZ103" s="10" t="s">
        <v>87</v>
      </c>
      <c r="BA103" s="25">
        <v>18</v>
      </c>
      <c r="BC103" s="10" t="s">
        <v>99</v>
      </c>
      <c r="BD103" s="25">
        <v>19</v>
      </c>
      <c r="BF103" s="10" t="s">
        <v>212</v>
      </c>
      <c r="BG103" s="25">
        <v>18</v>
      </c>
    </row>
    <row r="104" spans="52:59" x14ac:dyDescent="0.3">
      <c r="AZ104" s="10" t="s">
        <v>39</v>
      </c>
      <c r="BA104" s="25">
        <v>18</v>
      </c>
      <c r="BC104" s="10" t="s">
        <v>5</v>
      </c>
      <c r="BD104" s="25">
        <v>19</v>
      </c>
      <c r="BF104" s="10" t="s">
        <v>145</v>
      </c>
      <c r="BG104" s="25">
        <v>19</v>
      </c>
    </row>
    <row r="105" spans="52:59" x14ac:dyDescent="0.3">
      <c r="AZ105" s="10" t="s">
        <v>121</v>
      </c>
      <c r="BA105" s="25">
        <v>19</v>
      </c>
      <c r="BC105" s="10" t="s">
        <v>77</v>
      </c>
      <c r="BD105" s="25">
        <v>19</v>
      </c>
      <c r="BF105" s="10" t="s">
        <v>6</v>
      </c>
      <c r="BG105" s="25">
        <v>22</v>
      </c>
    </row>
    <row r="106" spans="52:59" x14ac:dyDescent="0.3">
      <c r="AZ106" s="10" t="s">
        <v>60</v>
      </c>
      <c r="BA106" s="25">
        <v>23</v>
      </c>
      <c r="BC106" s="10" t="s">
        <v>73</v>
      </c>
      <c r="BD106" s="25">
        <v>21</v>
      </c>
      <c r="BF106" s="10" t="s">
        <v>56</v>
      </c>
      <c r="BG106" s="25">
        <v>23</v>
      </c>
    </row>
    <row r="107" spans="52:59" x14ac:dyDescent="0.3">
      <c r="AZ107" s="10" t="s">
        <v>103</v>
      </c>
      <c r="BA107" s="25">
        <v>23</v>
      </c>
      <c r="BC107" s="10" t="s">
        <v>14</v>
      </c>
      <c r="BD107" s="25">
        <v>25</v>
      </c>
      <c r="BF107" s="10" t="s">
        <v>89</v>
      </c>
      <c r="BG107" s="25">
        <v>28</v>
      </c>
    </row>
    <row r="108" spans="52:59" x14ac:dyDescent="0.3">
      <c r="AZ108" s="10" t="s">
        <v>813</v>
      </c>
      <c r="BA108" s="30">
        <v>171</v>
      </c>
      <c r="BC108" s="10" t="s">
        <v>813</v>
      </c>
      <c r="BD108" s="30">
        <v>185</v>
      </c>
      <c r="BF108" s="10" t="s">
        <v>813</v>
      </c>
      <c r="BG108" s="30">
        <v>188</v>
      </c>
    </row>
    <row r="112" spans="52:59" x14ac:dyDescent="0.3">
      <c r="AZ112" s="26" t="s">
        <v>816</v>
      </c>
      <c r="BA112" s="26" t="s">
        <v>823</v>
      </c>
    </row>
    <row r="113" spans="52:57" x14ac:dyDescent="0.3">
      <c r="AZ113" s="26" t="s">
        <v>817</v>
      </c>
      <c r="BA113" t="s">
        <v>18</v>
      </c>
      <c r="BB113" t="s">
        <v>36</v>
      </c>
      <c r="BC113" t="s">
        <v>9</v>
      </c>
      <c r="BD113" t="s">
        <v>96</v>
      </c>
      <c r="BE113" t="s">
        <v>813</v>
      </c>
    </row>
    <row r="114" spans="52:57" x14ac:dyDescent="0.3">
      <c r="AZ114" s="10" t="s">
        <v>17</v>
      </c>
      <c r="BA114" s="25">
        <v>41</v>
      </c>
      <c r="BB114" s="25">
        <v>27</v>
      </c>
      <c r="BC114" s="25">
        <v>12</v>
      </c>
      <c r="BD114" s="25">
        <v>3</v>
      </c>
      <c r="BE114" s="25">
        <v>83</v>
      </c>
    </row>
    <row r="115" spans="52:57" x14ac:dyDescent="0.3">
      <c r="AZ115" s="10" t="s">
        <v>8</v>
      </c>
      <c r="BA115" s="25">
        <v>37</v>
      </c>
      <c r="BB115" s="25">
        <v>22</v>
      </c>
      <c r="BC115" s="25">
        <v>13</v>
      </c>
      <c r="BD115" s="25">
        <v>3</v>
      </c>
      <c r="BE115" s="25">
        <v>75</v>
      </c>
    </row>
    <row r="116" spans="52:57" x14ac:dyDescent="0.3">
      <c r="AZ116" s="10" t="s">
        <v>29</v>
      </c>
      <c r="BA116" s="25">
        <v>40</v>
      </c>
      <c r="BB116" s="25">
        <v>18</v>
      </c>
      <c r="BC116" s="25">
        <v>11</v>
      </c>
      <c r="BD116" s="25">
        <v>2</v>
      </c>
      <c r="BE116" s="25">
        <v>71</v>
      </c>
    </row>
    <row r="117" spans="52:57" x14ac:dyDescent="0.3">
      <c r="AZ117" s="10" t="s">
        <v>42</v>
      </c>
      <c r="BA117" s="25">
        <v>36</v>
      </c>
      <c r="BB117" s="25">
        <v>21</v>
      </c>
      <c r="BC117" s="25">
        <v>10</v>
      </c>
      <c r="BD117" s="25">
        <v>4</v>
      </c>
      <c r="BE117" s="25">
        <v>71</v>
      </c>
    </row>
    <row r="118" spans="52:57" x14ac:dyDescent="0.3">
      <c r="AZ118" s="10" t="s">
        <v>813</v>
      </c>
      <c r="BA118" s="30">
        <v>154</v>
      </c>
      <c r="BB118" s="30">
        <v>88</v>
      </c>
      <c r="BC118" s="30">
        <v>46</v>
      </c>
      <c r="BD118" s="30">
        <v>12</v>
      </c>
      <c r="BE118" s="30">
        <v>300</v>
      </c>
    </row>
    <row r="160" spans="88:89" x14ac:dyDescent="0.3">
      <c r="CJ160" s="26" t="s">
        <v>817</v>
      </c>
      <c r="CK160" t="s">
        <v>816</v>
      </c>
    </row>
    <row r="161" spans="88:89" x14ac:dyDescent="0.3">
      <c r="CJ161" s="10" t="s">
        <v>84</v>
      </c>
      <c r="CK161" s="25">
        <v>15</v>
      </c>
    </row>
    <row r="162" spans="88:89" x14ac:dyDescent="0.3">
      <c r="CJ162" s="10" t="s">
        <v>111</v>
      </c>
      <c r="CK162" s="25">
        <v>15</v>
      </c>
    </row>
    <row r="163" spans="88:89" x14ac:dyDescent="0.3">
      <c r="CJ163" s="10" t="s">
        <v>21</v>
      </c>
      <c r="CK163" s="25">
        <v>15</v>
      </c>
    </row>
    <row r="164" spans="88:89" x14ac:dyDescent="0.3">
      <c r="CJ164" s="10" t="s">
        <v>74</v>
      </c>
      <c r="CK164" s="25">
        <v>17</v>
      </c>
    </row>
    <row r="165" spans="88:89" x14ac:dyDescent="0.3">
      <c r="CJ165" s="10" t="s">
        <v>57</v>
      </c>
      <c r="CK165" s="25">
        <v>17</v>
      </c>
    </row>
    <row r="166" spans="88:89" x14ac:dyDescent="0.3">
      <c r="CJ166" s="10" t="s">
        <v>78</v>
      </c>
      <c r="CK166" s="25">
        <v>18</v>
      </c>
    </row>
    <row r="167" spans="88:89" x14ac:dyDescent="0.3">
      <c r="CJ167" s="10" t="s">
        <v>52</v>
      </c>
      <c r="CK167" s="25">
        <v>18</v>
      </c>
    </row>
    <row r="168" spans="88:89" x14ac:dyDescent="0.3">
      <c r="CJ168" s="10" t="s">
        <v>35</v>
      </c>
      <c r="CK168" s="25">
        <v>18</v>
      </c>
    </row>
    <row r="169" spans="88:89" x14ac:dyDescent="0.3">
      <c r="CJ169" s="10" t="s">
        <v>90</v>
      </c>
      <c r="CK169" s="25">
        <v>19</v>
      </c>
    </row>
    <row r="170" spans="88:89" x14ac:dyDescent="0.3">
      <c r="CJ170" s="10" t="s">
        <v>16</v>
      </c>
      <c r="CK170" s="25">
        <v>31</v>
      </c>
    </row>
    <row r="171" spans="88:89" x14ac:dyDescent="0.3">
      <c r="CJ171" s="10" t="s">
        <v>813</v>
      </c>
      <c r="CK171" s="30">
        <v>183</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8E89-3F29-4812-9226-B29E51C4BDE3}">
  <dimension ref="A1:BG103"/>
  <sheetViews>
    <sheetView zoomScale="50" zoomScaleNormal="50" workbookViewId="0">
      <selection activeCell="AJ71" sqref="AJ71"/>
    </sheetView>
  </sheetViews>
  <sheetFormatPr defaultRowHeight="14.4" x14ac:dyDescent="0.3"/>
  <cols>
    <col min="51" max="51" width="15.44140625" bestFit="1" customWidth="1"/>
    <col min="52" max="52" width="23.88671875" bestFit="1" customWidth="1"/>
    <col min="53" max="53" width="25.44140625" bestFit="1" customWidth="1"/>
    <col min="54" max="54" width="27" bestFit="1" customWidth="1"/>
    <col min="55" max="55" width="21.88671875" bestFit="1" customWidth="1"/>
    <col min="60" max="16384" width="8.88671875" style="9"/>
  </cols>
  <sheetData>
    <row r="1" spans="1:47"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row>
    <row r="2" spans="1:47"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row>
    <row r="3" spans="1:47"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spans="1:47"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row>
    <row r="6" spans="1:47"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spans="1:47"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47"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row>
    <row r="9" spans="1:47"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row>
    <row r="10" spans="1:47"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row>
    <row r="11" spans="1:47"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row>
    <row r="12" spans="1:47"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row>
    <row r="13" spans="1:47"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row>
    <row r="14" spans="1:47"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row>
    <row r="15" spans="1:47"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row>
    <row r="16" spans="1:47"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row>
    <row r="17" spans="1:47"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row>
    <row r="18" spans="1:47"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row>
    <row r="19" spans="1:47"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row>
    <row r="20" spans="1:47"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row>
    <row r="21" spans="1:47"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row>
    <row r="22" spans="1:47"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row>
    <row r="23" spans="1:47"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row>
    <row r="24" spans="1:47"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row>
    <row r="25" spans="1:47"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row>
    <row r="26" spans="1:47"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row>
    <row r="27" spans="1:47"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row>
    <row r="28" spans="1:47"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row>
    <row r="29" spans="1:47"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row>
    <row r="30" spans="1:47"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row>
    <row r="31" spans="1:47"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row>
    <row r="32" spans="1:47"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row>
    <row r="33" spans="1:47"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row>
    <row r="34" spans="1:47"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row>
    <row r="35" spans="1:47"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row>
    <row r="36" spans="1:47"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row>
    <row r="37" spans="1:47"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row>
    <row r="38" spans="1:47"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row>
    <row r="39" spans="1:47"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row>
    <row r="40" spans="1:47"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row>
    <row r="41" spans="1:47"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row>
    <row r="42" spans="1:47"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row>
    <row r="43" spans="1:47"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row>
    <row r="44" spans="1:47"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row>
    <row r="45" spans="1:47"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row>
    <row r="46" spans="1:47"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row>
    <row r="47" spans="1:47"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row>
    <row r="48" spans="1:47"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row>
    <row r="49" spans="1:47"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row>
    <row r="50" spans="1:47"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row>
    <row r="51" spans="1:47"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row>
    <row r="52" spans="1:47"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row>
    <row r="56" spans="1:47"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row>
    <row r="57" spans="1:47"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row>
    <row r="58" spans="1:47"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row>
    <row r="62" spans="1:47"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row>
    <row r="63" spans="1:47"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row>
    <row r="64" spans="1:47"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row>
    <row r="65" spans="1:55"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Y65" t="s">
        <v>824</v>
      </c>
      <c r="AZ65" t="s">
        <v>825</v>
      </c>
    </row>
    <row r="66" spans="1:55"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Y66" s="30">
        <v>6.5</v>
      </c>
      <c r="AZ66" s="30">
        <v>5.6833333333333336</v>
      </c>
    </row>
    <row r="67" spans="1:55"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Y67" s="30">
        <f>GETPIVOTDATA("[Measures].[Average of strength_score]",$AY$65)</f>
        <v>6.5</v>
      </c>
      <c r="AZ67" s="30">
        <f>GETPIVOTDATA("[Measures].[Average of opportunity_score]",$AY$65)</f>
        <v>5.6833333333333336</v>
      </c>
    </row>
    <row r="68" spans="1:55"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row>
    <row r="69" spans="1:55"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Y69" s="26" t="s">
        <v>817</v>
      </c>
      <c r="AZ69" t="s">
        <v>816</v>
      </c>
    </row>
    <row r="70" spans="1:55"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Y70" s="10" t="s">
        <v>96</v>
      </c>
      <c r="AZ70" s="30">
        <v>12</v>
      </c>
      <c r="BA70">
        <f>GETPIVOTDATA("[Measures].[Count of company_id]",$AY$69,"[swot_analysis_dataset].[swot_rating]","[swot_analysis_dataset].[swot_rating].&amp;[Critical]")</f>
        <v>12</v>
      </c>
      <c r="BB70" s="28">
        <f>IFERROR((BA70/BA74)*100,0)</f>
        <v>4</v>
      </c>
    </row>
    <row r="71" spans="1:55" x14ac:dyDescent="0.3">
      <c r="AY71" s="10" t="s">
        <v>9</v>
      </c>
      <c r="AZ71" s="30">
        <v>46</v>
      </c>
      <c r="BA71">
        <f>GETPIVOTDATA("[Measures].[Count of company_id]",$AY$69,"[swot_analysis_dataset].[swot_rating]","[swot_analysis_dataset].[swot_rating].&amp;[Neutral]")</f>
        <v>46</v>
      </c>
      <c r="BB71" s="32">
        <f>IFERROR((BA71/BA74)*100,0)</f>
        <v>15.333333333333332</v>
      </c>
    </row>
    <row r="72" spans="1:55" x14ac:dyDescent="0.3">
      <c r="AY72" s="10" t="s">
        <v>36</v>
      </c>
      <c r="AZ72" s="30">
        <v>88</v>
      </c>
      <c r="BA72">
        <f>GETPIVOTDATA("[Measures].[Count of company_id]",$AY$69,"[swot_analysis_dataset].[swot_rating]","[swot_analysis_dataset].[swot_rating].&amp;[Positive]")</f>
        <v>88</v>
      </c>
      <c r="BB72" s="32">
        <f>IFERROR((BA72/BA74)*100,0)</f>
        <v>29.333333333333332</v>
      </c>
    </row>
    <row r="73" spans="1:55" x14ac:dyDescent="0.3">
      <c r="AY73" s="10" t="s">
        <v>18</v>
      </c>
      <c r="AZ73" s="30">
        <v>154</v>
      </c>
      <c r="BA73">
        <f>GETPIVOTDATA("[Measures].[Count of company_id]",$AY$69,"[swot_analysis_dataset].[swot_rating]","[swot_analysis_dataset].[swot_rating].&amp;[Strong]")</f>
        <v>154</v>
      </c>
      <c r="BB73" s="32">
        <f>(BA73/BA74)*100</f>
        <v>51.333333333333329</v>
      </c>
      <c r="BC73" s="28">
        <f>IFERROR(ROUNDUP(BB73,0),0)</f>
        <v>52</v>
      </c>
    </row>
    <row r="74" spans="1:55" x14ac:dyDescent="0.3">
      <c r="AY74" s="10" t="s">
        <v>813</v>
      </c>
      <c r="AZ74" s="30">
        <v>300</v>
      </c>
      <c r="BA74">
        <f>GETPIVOTDATA("[Measures].[Count of company_id]",$AY$69)</f>
        <v>300</v>
      </c>
    </row>
    <row r="77" spans="1:55" x14ac:dyDescent="0.3">
      <c r="AY77" s="26" t="s">
        <v>817</v>
      </c>
      <c r="AZ77" t="s">
        <v>830</v>
      </c>
      <c r="BA77" t="s">
        <v>831</v>
      </c>
    </row>
    <row r="78" spans="1:55" x14ac:dyDescent="0.3">
      <c r="AY78" s="10" t="s">
        <v>48</v>
      </c>
      <c r="AZ78" s="30">
        <v>6.5614035087719298</v>
      </c>
      <c r="BA78" s="30">
        <v>5.7368421052631575</v>
      </c>
    </row>
    <row r="79" spans="1:55" x14ac:dyDescent="0.3">
      <c r="AY79" s="10" t="s">
        <v>24</v>
      </c>
      <c r="AZ79" s="30">
        <v>6.3571428571428568</v>
      </c>
      <c r="BA79" s="30">
        <v>5.7857142857142856</v>
      </c>
    </row>
    <row r="80" spans="1:55" x14ac:dyDescent="0.3">
      <c r="AY80" s="10" t="s">
        <v>81</v>
      </c>
      <c r="AZ80" s="30">
        <v>6.532258064516129</v>
      </c>
      <c r="BA80" s="30">
        <v>5.725806451612903</v>
      </c>
    </row>
    <row r="81" spans="51:53" x14ac:dyDescent="0.3">
      <c r="AY81" s="10" t="s">
        <v>3</v>
      </c>
      <c r="AZ81" s="30">
        <v>6.4333333333333336</v>
      </c>
      <c r="BA81" s="30">
        <v>5.5666666666666664</v>
      </c>
    </row>
    <row r="82" spans="51:53" x14ac:dyDescent="0.3">
      <c r="AY82" s="10" t="s">
        <v>12</v>
      </c>
      <c r="AZ82" s="30">
        <v>6.6</v>
      </c>
      <c r="BA82" s="30">
        <v>5.615384615384615</v>
      </c>
    </row>
    <row r="83" spans="51:53" x14ac:dyDescent="0.3">
      <c r="AY83" s="10" t="s">
        <v>813</v>
      </c>
      <c r="AZ83" s="30">
        <v>6.5</v>
      </c>
      <c r="BA83" s="30">
        <v>5.6833333333333336</v>
      </c>
    </row>
    <row r="87" spans="51:53" x14ac:dyDescent="0.3">
      <c r="AY87" s="26" t="s">
        <v>817</v>
      </c>
      <c r="AZ87" t="s">
        <v>832</v>
      </c>
      <c r="BA87" t="s">
        <v>833</v>
      </c>
    </row>
    <row r="88" spans="51:53" x14ac:dyDescent="0.3">
      <c r="AY88" s="10" t="s">
        <v>48</v>
      </c>
      <c r="AZ88" s="30">
        <v>4.1754385964912277</v>
      </c>
      <c r="BA88" s="30">
        <v>4.333333333333333</v>
      </c>
    </row>
    <row r="89" spans="51:53" x14ac:dyDescent="0.3">
      <c r="AY89" s="10" t="s">
        <v>24</v>
      </c>
      <c r="AZ89" s="30">
        <v>4.1964285714285712</v>
      </c>
      <c r="BA89" s="30">
        <v>4.625</v>
      </c>
    </row>
    <row r="90" spans="51:53" x14ac:dyDescent="0.3">
      <c r="AY90" s="10" t="s">
        <v>81</v>
      </c>
      <c r="AZ90" s="30">
        <v>4.306451612903226</v>
      </c>
      <c r="BA90" s="30">
        <v>4.580645161290323</v>
      </c>
    </row>
    <row r="91" spans="51:53" x14ac:dyDescent="0.3">
      <c r="AY91" s="10" t="s">
        <v>3</v>
      </c>
      <c r="AZ91" s="30">
        <v>4.666666666666667</v>
      </c>
      <c r="BA91" s="30">
        <v>4.2166666666666668</v>
      </c>
    </row>
    <row r="92" spans="51:53" x14ac:dyDescent="0.3">
      <c r="AY92" s="10" t="s">
        <v>12</v>
      </c>
      <c r="AZ92" s="30">
        <v>4.2615384615384615</v>
      </c>
      <c r="BA92" s="30">
        <v>4.4153846153846157</v>
      </c>
    </row>
    <row r="93" spans="51:53" x14ac:dyDescent="0.3">
      <c r="AY93" s="10" t="s">
        <v>813</v>
      </c>
      <c r="AZ93" s="30">
        <v>4.3233333333333333</v>
      </c>
      <c r="BA93" s="30">
        <v>4.4333333333333336</v>
      </c>
    </row>
    <row r="97" spans="51:58" x14ac:dyDescent="0.3">
      <c r="AY97" s="26" t="s">
        <v>817</v>
      </c>
      <c r="AZ97" t="s">
        <v>824</v>
      </c>
      <c r="BA97" t="s">
        <v>827</v>
      </c>
      <c r="BB97" t="s">
        <v>825</v>
      </c>
      <c r="BC97" t="s">
        <v>826</v>
      </c>
      <c r="BE97" t="s">
        <v>828</v>
      </c>
      <c r="BF97" t="s">
        <v>829</v>
      </c>
    </row>
    <row r="98" spans="51:58" x14ac:dyDescent="0.3">
      <c r="AY98" s="10" t="s">
        <v>48</v>
      </c>
      <c r="AZ98" s="30">
        <v>6.5614035087719298</v>
      </c>
      <c r="BA98" s="30">
        <v>4.333333333333333</v>
      </c>
      <c r="BB98" s="30">
        <v>5.7368421052631575</v>
      </c>
      <c r="BC98" s="30">
        <v>4.1754385964912277</v>
      </c>
      <c r="BE98" s="27">
        <f>GETPIVOTDATA("[Measures].[Average of strength_score]",$AY$97,"[swot_analysis_dataset].[industry]","[swot_analysis_dataset].[industry].&amp;[Finance]")+GETPIVOTDATA("[Measures].[Average of opportunity_score]",$AY$97,"[swot_analysis_dataset].[industry]","[swot_analysis_dataset].[industry].&amp;[Finance]")</f>
        <v>12.298245614035087</v>
      </c>
      <c r="BF98" s="27">
        <f>GETPIVOTDATA("[Measures].[Average of weakness_score]",$AY$97,"[swot_analysis_dataset].[industry]","[swot_analysis_dataset].[industry].&amp;[Finance]")+GETPIVOTDATA("[Measures].[Average of threat_score]",$AY$97,"[swot_analysis_dataset].[industry]","[swot_analysis_dataset].[industry].&amp;[Finance]")</f>
        <v>8.5087719298245617</v>
      </c>
    </row>
    <row r="99" spans="51:58" x14ac:dyDescent="0.3">
      <c r="AY99" s="10" t="s">
        <v>24</v>
      </c>
      <c r="AZ99" s="30">
        <v>6.3571428571428568</v>
      </c>
      <c r="BA99" s="30">
        <v>4.625</v>
      </c>
      <c r="BB99" s="30">
        <v>5.7857142857142856</v>
      </c>
      <c r="BC99" s="30">
        <v>4.1964285714285712</v>
      </c>
      <c r="BE99" s="27">
        <f>GETPIVOTDATA("[Measures].[Average of strength_score]",$AY$97,"[swot_analysis_dataset].[industry]","[swot_analysis_dataset].[industry].&amp;[Healthcare]")+GETPIVOTDATA("[Measures].[Average of opportunity_score]",$AY$97,"[swot_analysis_dataset].[industry]","[swot_analysis_dataset].[industry].&amp;[Healthcare]")</f>
        <v>12.142857142857142</v>
      </c>
      <c r="BF99" s="27">
        <f>GETPIVOTDATA("[Measures].[Average of weakness_score]",$AY$97,"[swot_analysis_dataset].[industry]","[swot_analysis_dataset].[industry].&amp;[Healthcare]")+GETPIVOTDATA("[Measures].[Average of threat_score]",$AY$97,"[swot_analysis_dataset].[industry]","[swot_analysis_dataset].[industry].&amp;[Healthcare]")</f>
        <v>8.8214285714285712</v>
      </c>
    </row>
    <row r="100" spans="51:58" x14ac:dyDescent="0.3">
      <c r="AY100" s="10" t="s">
        <v>81</v>
      </c>
      <c r="AZ100" s="30">
        <v>6.532258064516129</v>
      </c>
      <c r="BA100" s="30">
        <v>4.580645161290323</v>
      </c>
      <c r="BB100" s="30">
        <v>5.725806451612903</v>
      </c>
      <c r="BC100" s="30">
        <v>4.306451612903226</v>
      </c>
      <c r="BE100" s="27">
        <f>GETPIVOTDATA("[Measures].[Average of strength_score]",$AY$97,"[swot_analysis_dataset].[industry]","[swot_analysis_dataset].[industry].&amp;[Retail]")+GETPIVOTDATA("[Measures].[Average of opportunity_score]",$AY$97,"[swot_analysis_dataset].[industry]","[swot_analysis_dataset].[industry].&amp;[Manufacturing]")</f>
        <v>12.159139784946237</v>
      </c>
      <c r="BF100" s="27">
        <f>GETPIVOTDATA("[Measures].[Average of weakness_score]",$AY$97,"[swot_analysis_dataset].[industry]","[swot_analysis_dataset].[industry].&amp;[Manufacturing]")+GETPIVOTDATA("[Measures].[Average of threat_score]",$AY$97,"[swot_analysis_dataset].[industry]","[swot_analysis_dataset].[industry].&amp;[Manufacturing]")</f>
        <v>8.887096774193548</v>
      </c>
    </row>
    <row r="101" spans="51:58" x14ac:dyDescent="0.3">
      <c r="AY101" s="10" t="s">
        <v>3</v>
      </c>
      <c r="AZ101" s="30">
        <v>6.4333333333333336</v>
      </c>
      <c r="BA101" s="30">
        <v>4.2166666666666668</v>
      </c>
      <c r="BB101" s="30">
        <v>5.5666666666666664</v>
      </c>
      <c r="BC101" s="30">
        <v>4.666666666666667</v>
      </c>
      <c r="BE101" s="27">
        <f>GETPIVOTDATA("[Measures].[Average of strength_score]",$AY$97,"[swot_analysis_dataset].[industry]","[swot_analysis_dataset].[industry].&amp;[Retail]")+GETPIVOTDATA("[Measures].[Average of opportunity_score]",$AY$97,"[swot_analysis_dataset].[industry]","[swot_analysis_dataset].[industry].&amp;[Retail]")</f>
        <v>12</v>
      </c>
      <c r="BF101" s="27">
        <f>GETPIVOTDATA("[Measures].[Average of weakness_score]",$AY$97,"[swot_analysis_dataset].[industry]","[swot_analysis_dataset].[industry].&amp;[Retail]")+GETPIVOTDATA("[Measures].[Average of threat_score]",$AY$97,"[swot_analysis_dataset].[industry]","[swot_analysis_dataset].[industry].&amp;[Retail]")</f>
        <v>8.8833333333333329</v>
      </c>
    </row>
    <row r="102" spans="51:58" x14ac:dyDescent="0.3">
      <c r="AY102" s="10" t="s">
        <v>12</v>
      </c>
      <c r="AZ102" s="30">
        <v>6.6</v>
      </c>
      <c r="BA102" s="30">
        <v>4.4153846153846157</v>
      </c>
      <c r="BB102" s="30">
        <v>5.615384615384615</v>
      </c>
      <c r="BC102" s="30">
        <v>4.2615384615384615</v>
      </c>
      <c r="BE102" s="27">
        <f>GETPIVOTDATA("[Measures].[Average of strength_score]",$AY$97,"[swot_analysis_dataset].[industry]","[swot_analysis_dataset].[industry].&amp;[Technology]")+GETPIVOTDATA("[Measures].[Average of opportunity_score]",$AY$97,"[swot_analysis_dataset].[industry]","[swot_analysis_dataset].[industry].&amp;[Technology]")</f>
        <v>12.215384615384615</v>
      </c>
      <c r="BF102" s="27">
        <f>GETPIVOTDATA("[Measures].[Average of weakness_score]",$AY$97,"[swot_analysis_dataset].[industry]","[swot_analysis_dataset].[industry].&amp;[Technology]")+GETPIVOTDATA("[Measures].[Average of threat_score]",$AY$97,"[swot_analysis_dataset].[industry]","[swot_analysis_dataset].[industry].&amp;[Technology]")</f>
        <v>8.6769230769230781</v>
      </c>
    </row>
    <row r="103" spans="51:58" x14ac:dyDescent="0.3">
      <c r="AY103" s="10" t="s">
        <v>813</v>
      </c>
      <c r="AZ103" s="30">
        <v>6.5</v>
      </c>
      <c r="BA103" s="30">
        <v>4.4333333333333336</v>
      </c>
      <c r="BB103" s="30">
        <v>5.6833333333333336</v>
      </c>
      <c r="BC103" s="30">
        <v>4.3233333333333333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E33BE4-BFCE-4AB2-93BA-3226A22336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SWOT_Dataset</vt:lpstr>
      <vt:lpstr>Data Cleaning Sheet</vt:lpstr>
      <vt:lpstr>Executive Dashboard</vt:lpstr>
      <vt:lpstr>Industry Companies</vt:lpstr>
      <vt:lpstr>SWOT Intelligence</vt:lpstr>
      <vt:lpstr>Risk &amp;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SHADOW</dc:creator>
  <cp:lastModifiedBy>Huseyn</cp:lastModifiedBy>
  <dcterms:created xsi:type="dcterms:W3CDTF">2026-05-05T19:48:29Z</dcterms:created>
  <dcterms:modified xsi:type="dcterms:W3CDTF">2026-05-24T06:45:46Z</dcterms:modified>
</cp:coreProperties>
</file>